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 defaultThemeVersion="166925"/>
  <xr:revisionPtr revIDLastSave="0" documentId="8_{23E01682-92B2-4161-A218-C17CA4BFEBF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6" i="1" l="1"/>
  <c r="C36" i="1" s="1"/>
  <c r="F35" i="1"/>
  <c r="C35" i="1" s="1"/>
  <c r="F34" i="1"/>
  <c r="C34" i="1" s="1"/>
  <c r="F33" i="1"/>
  <c r="C33" i="1" s="1"/>
  <c r="F32" i="1"/>
  <c r="C32" i="1" s="1"/>
  <c r="F31" i="1"/>
  <c r="C31" i="1" s="1"/>
  <c r="F30" i="1"/>
  <c r="C30" i="1" s="1"/>
  <c r="F29" i="1"/>
  <c r="C29" i="1" s="1"/>
  <c r="F28" i="1"/>
  <c r="C28" i="1" s="1"/>
  <c r="F27" i="1"/>
  <c r="C27" i="1" s="1"/>
  <c r="F26" i="1"/>
  <c r="C26" i="1" s="1"/>
  <c r="F25" i="1"/>
  <c r="C25" i="1" s="1"/>
  <c r="F24" i="1"/>
  <c r="C24" i="1" s="1"/>
  <c r="F23" i="1"/>
  <c r="C23" i="1" s="1"/>
  <c r="F22" i="1"/>
  <c r="C22" i="1" s="1"/>
  <c r="F21" i="1"/>
  <c r="C21" i="1" s="1"/>
  <c r="F20" i="1"/>
  <c r="C20" i="1" s="1"/>
  <c r="F19" i="1"/>
  <c r="C19" i="1" s="1"/>
  <c r="F18" i="1"/>
  <c r="C18" i="1" s="1"/>
  <c r="C14" i="1"/>
  <c r="C13" i="1"/>
  <c r="C12" i="1"/>
  <c r="C11" i="1"/>
  <c r="C10" i="1"/>
  <c r="C9" i="1"/>
  <c r="C8" i="1"/>
  <c r="C7" i="1"/>
  <c r="C6" i="1"/>
  <c r="C5" i="1"/>
  <c r="C4" i="1"/>
  <c r="C3" i="1"/>
</calcChain>
</file>

<file path=xl/sharedStrings.xml><?xml version="1.0" encoding="utf-8"?>
<sst xmlns="http://schemas.openxmlformats.org/spreadsheetml/2006/main" count="108" uniqueCount="60">
  <si>
    <t>ATIVIDADE 1</t>
  </si>
  <si>
    <t>Questão</t>
  </si>
  <si>
    <t>Calculo</t>
  </si>
  <si>
    <t>Resultado</t>
  </si>
  <si>
    <t>INPUT 1</t>
  </si>
  <si>
    <t>INPUT 2</t>
  </si>
  <si>
    <t>INPUT 3</t>
  </si>
  <si>
    <t>A</t>
  </si>
  <si>
    <t>2²⁰</t>
  </si>
  <si>
    <t>null</t>
  </si>
  <si>
    <t>B</t>
  </si>
  <si>
    <t>√16</t>
  </si>
  <si>
    <t>C</t>
  </si>
  <si>
    <t>20%5</t>
  </si>
  <si>
    <t>D</t>
  </si>
  <si>
    <t>3+(8/2)</t>
  </si>
  <si>
    <t>E</t>
  </si>
  <si>
    <t>5-13*2</t>
  </si>
  <si>
    <t>F</t>
  </si>
  <si>
    <t>(10/2)-3</t>
  </si>
  <si>
    <t>G</t>
  </si>
  <si>
    <t>(2/3)²-2*(1/4)+√2</t>
  </si>
  <si>
    <t>H</t>
  </si>
  <si>
    <t>√(10/3*11²)</t>
  </si>
  <si>
    <t>I</t>
  </si>
  <si>
    <t>(2³/5)²+(1,5)⁻²-(2³/4+(3/2))⁻¹+(3/3)</t>
  </si>
  <si>
    <t>J</t>
  </si>
  <si>
    <t>2(5x+2)^3/2</t>
  </si>
  <si>
    <t>K</t>
  </si>
  <si>
    <t>x²-2x+4</t>
  </si>
  <si>
    <t>L</t>
  </si>
  <si>
    <t>(-b+√b²-4ac)/2a</t>
  </si>
  <si>
    <t>ATIVIDADE 2</t>
  </si>
  <si>
    <t>INPUT 4</t>
  </si>
  <si>
    <t>a+b*c</t>
  </si>
  <si>
    <t>(a+b)*c</t>
  </si>
  <si>
    <t>a+(b/c)</t>
  </si>
  <si>
    <t>(a+b)/c</t>
  </si>
  <si>
    <t>((a+b)/c)*d</t>
  </si>
  <si>
    <t>(a+b)/(c*d)</t>
  </si>
  <si>
    <t>((a+b)/c)+d</t>
  </si>
  <si>
    <t>(a+b)/(c+d)</t>
  </si>
  <si>
    <t>ab+(c/d)</t>
  </si>
  <si>
    <t>a-(b/c)+d²</t>
  </si>
  <si>
    <t>(a+b²)/c</t>
  </si>
  <si>
    <t>(a+b)²/c</t>
  </si>
  <si>
    <t>M</t>
  </si>
  <si>
    <t>(a+b)/c²</t>
  </si>
  <si>
    <t>N</t>
  </si>
  <si>
    <t>(a+b/c)²</t>
  </si>
  <si>
    <t>O</t>
  </si>
  <si>
    <t>(√a+b²)/c</t>
  </si>
  <si>
    <t>P</t>
  </si>
  <si>
    <t>√(a+b²/c)</t>
  </si>
  <si>
    <t>Q</t>
  </si>
  <si>
    <t>√((a+b)²/c)</t>
  </si>
  <si>
    <t>R</t>
  </si>
  <si>
    <t>√(a+b/c²)</t>
  </si>
  <si>
    <t>S</t>
  </si>
  <si>
    <t>√a+(b/c)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</si>
</sst>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???/???"/>
  </numFmts>
  <fonts count="6">
    <font>
      <sz val="11"/>
      <color theme="1"/>
      <name val="Calibri"/>
      <family val="2"/>
      <scheme val="minor"/>
    </font>
    <font>
      <sz val="11"/>
      <color theme="1"/>
      <name val="Google Sans Text"/>
      <family val="2"/>
      <charset val="1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theme="1"/>
      <name val="Google Sans Text"/>
      <family val="2"/>
      <charset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 wrapText="1"/>
    </xf>
    <xf numFmtId="12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2" fontId="0" fillId="0" borderId="0" xfId="0" applyNumberFormat="1"/>
    <xf numFmtId="0" fontId="0" fillId="0" borderId="0" xfId="0" applyNumberFormat="1" applyAlignment="1">
      <alignment horizontal="center"/>
    </xf>
    <xf numFmtId="0" fontId="0" fillId="0" borderId="0" xfId="0" applyNumberFormat="1"/>
    <xf numFmtId="0" fontId="0" fillId="0" borderId="0" xfId="0" applyNumberFormat="1" applyAlignment="1">
      <alignment horizontal="center" wrapText="1"/>
    </xf>
    <xf numFmtId="0" fontId="2" fillId="3" borderId="0" xfId="0" applyFont="1" applyFill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164" fontId="0" fillId="0" borderId="1" xfId="0" applyNumberFormat="1" applyFont="1" applyBorder="1" applyAlignment="1">
      <alignment horizontal="center" wrapText="1"/>
    </xf>
    <xf numFmtId="12" fontId="0" fillId="2" borderId="1" xfId="0" applyNumberFormat="1" applyFont="1" applyFill="1" applyBorder="1" applyAlignment="1">
      <alignment horizontal="center"/>
    </xf>
    <xf numFmtId="14" fontId="0" fillId="0" borderId="1" xfId="0" applyNumberFormat="1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0" xfId="0" applyNumberFormat="1" applyFont="1" applyFill="1"/>
    <xf numFmtId="0" fontId="2" fillId="3" borderId="2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2" fontId="0" fillId="0" borderId="2" xfId="0" applyNumberFormat="1" applyFont="1" applyBorder="1" applyAlignment="1">
      <alignment horizontal="center"/>
    </xf>
    <xf numFmtId="0" fontId="0" fillId="0" borderId="0" xfId="0" applyNumberFormat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wrapText="1"/>
    </xf>
    <xf numFmtId="0" fontId="0" fillId="0" borderId="0" xfId="0" quotePrefix="1" applyAlignment="1">
      <alignment wrapText="1"/>
    </xf>
    <xf numFmtId="2" fontId="3" fillId="0" borderId="0" xfId="0" applyNumberFormat="1" applyFont="1"/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numFmt numFmtId="2" formatCode="0.0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border outline="0">
        <bottom style="thin">
          <color theme="1"/>
        </bottom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0" formatCode="General"/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/>
    </dxf>
    <dxf>
      <alignment horizontal="center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BF10F8-BE82-4D01-9439-C6F3BB918286}" name="Tabela1" displayName="Tabela1" ref="A2:F14" totalsRowShown="0">
  <autoFilter ref="A2:F14" xr:uid="{34BF10F8-BE82-4D01-9439-C6F3BB918286}"/>
  <tableColumns count="6">
    <tableColumn id="1" xr3:uid="{6D695F7C-1F90-4C21-8F40-285E38FEDB6D}" name="Questão" dataDxfId="14"/>
    <tableColumn id="2" xr3:uid="{92F43AE2-2E8A-46B5-9874-B2A2167075EA}" name="Calculo" dataDxfId="13"/>
    <tableColumn id="3" xr3:uid="{3D179D20-8FF1-4FA2-9A00-6B5E5D3D1939}" name="Resultado" dataDxfId="12"/>
    <tableColumn id="4" xr3:uid="{0B3E56E6-3D50-4FAD-99FA-10CDFF7CFBC1}" name="INPUT 1" dataDxfId="11"/>
    <tableColumn id="5" xr3:uid="{BB5A91C5-0567-499C-AB2B-546187BD11E8}" name="INPUT 2" dataDxfId="10"/>
    <tableColumn id="6" xr3:uid="{A93C1CF5-9953-400A-9A86-10378EB625E6}" name="INPUT 3" dataDxfId="9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5C4AF98-8769-4A56-8649-0F3F2C945061}" name="Tabela2" displayName="Tabela2" ref="A17:G36" totalsRowShown="0" headerRowDxfId="8" headerRowBorderDxfId="6" tableBorderDxfId="7">
  <autoFilter ref="A17:G36" xr:uid="{95C4AF98-8769-4A56-8649-0F3F2C945061}"/>
  <tableColumns count="7">
    <tableColumn id="1" xr3:uid="{925A2918-AEEA-4D0B-855A-DC9A5A279652}" name="Questão" dataDxfId="5"/>
    <tableColumn id="2" xr3:uid="{CB842E10-728F-432E-8905-E1A3910FF9A4}" name="Calculo" dataDxfId="4"/>
    <tableColumn id="8" xr3:uid="{FD54FB42-1CB7-40D4-9C66-EE9C3A5C537A}" name="Resultado" dataDxfId="3">
      <calculatedColumnFormula>#REF!+#REF!*#REF!</calculatedColumnFormula>
    </tableColumn>
    <tableColumn id="19" xr3:uid="{FCAF3356-4652-4103-B661-3E80E4EC5A0B}" name="INPUT 1" dataDxfId="2"/>
    <tableColumn id="5" xr3:uid="{7977D8C0-9BC9-4445-9481-6F0D8C47696F}" name="INPUT 2" dataDxfId="1"/>
    <tableColumn id="6" xr3:uid="{7CC70682-8DD4-406F-A8BA-616D96C5820E}" name="INPUT 3" dataDxfId="0">
      <calculatedColumnFormula>Tabela2[[#This Row],[INPUT 2]] + 1</calculatedColumnFormula>
    </tableColumn>
    <tableColumn id="9" xr3:uid="{53B2993E-B841-4915-8E79-DEF02D76189A}" name="INPUT 4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8"/>
  <sheetViews>
    <sheetView tabSelected="1" workbookViewId="0">
      <selection activeCell="F46" sqref="F46"/>
    </sheetView>
  </sheetViews>
  <sheetFormatPr defaultRowHeight="15"/>
  <cols>
    <col min="1" max="1" width="10.5703125" style="1" bestFit="1" customWidth="1"/>
    <col min="2" max="2" width="36.5703125" style="1" bestFit="1" customWidth="1"/>
    <col min="3" max="3" width="17" customWidth="1"/>
    <col min="4" max="4" width="12.140625" style="7" bestFit="1" customWidth="1"/>
    <col min="5" max="5" width="11.42578125" style="7" bestFit="1" customWidth="1"/>
    <col min="6" max="6" width="10.42578125" style="7" bestFit="1" customWidth="1"/>
    <col min="7" max="8" width="10.28515625" bestFit="1" customWidth="1"/>
  </cols>
  <sheetData>
    <row r="1" spans="1:10">
      <c r="A1" s="11" t="s">
        <v>0</v>
      </c>
      <c r="B1" s="11"/>
      <c r="C1" s="11"/>
      <c r="D1" s="11"/>
      <c r="E1" s="11"/>
      <c r="F1" s="11"/>
      <c r="G1" s="9"/>
    </row>
    <row r="2" spans="1:10">
      <c r="A2" s="1" t="s">
        <v>1</v>
      </c>
      <c r="B2" s="1" t="s">
        <v>2</v>
      </c>
      <c r="C2" s="1" t="s">
        <v>3</v>
      </c>
      <c r="D2" s="9" t="s">
        <v>4</v>
      </c>
      <c r="E2" s="9" t="s">
        <v>5</v>
      </c>
      <c r="F2" s="9" t="s">
        <v>6</v>
      </c>
      <c r="G2" s="8"/>
      <c r="H2" s="8"/>
      <c r="I2" s="8"/>
      <c r="J2" s="8"/>
    </row>
    <row r="3" spans="1:10">
      <c r="A3" s="1" t="s">
        <v>7</v>
      </c>
      <c r="B3" s="1" t="s">
        <v>8</v>
      </c>
      <c r="C3" s="1">
        <f>2^20</f>
        <v>1048576</v>
      </c>
      <c r="D3" s="8" t="s">
        <v>9</v>
      </c>
      <c r="E3" s="8" t="s">
        <v>9</v>
      </c>
      <c r="F3" s="8" t="s">
        <v>9</v>
      </c>
      <c r="G3" s="8"/>
      <c r="H3" s="8"/>
      <c r="I3" s="8"/>
      <c r="J3" s="8"/>
    </row>
    <row r="4" spans="1:10">
      <c r="A4" s="1" t="s">
        <v>10</v>
      </c>
      <c r="B4" s="2" t="s">
        <v>11</v>
      </c>
      <c r="C4" s="1">
        <f>SQRT(16)</f>
        <v>4</v>
      </c>
      <c r="D4" s="8" t="s">
        <v>9</v>
      </c>
      <c r="E4" s="8" t="s">
        <v>9</v>
      </c>
      <c r="F4" s="8" t="s">
        <v>9</v>
      </c>
      <c r="G4" s="8"/>
      <c r="H4" s="8"/>
      <c r="I4" s="8"/>
      <c r="J4" s="8"/>
    </row>
    <row r="5" spans="1:10">
      <c r="A5" s="1" t="s">
        <v>12</v>
      </c>
      <c r="B5" s="1" t="s">
        <v>13</v>
      </c>
      <c r="C5" s="1">
        <f>20%*5</f>
        <v>1</v>
      </c>
      <c r="D5" s="8" t="s">
        <v>9</v>
      </c>
      <c r="E5" s="8" t="s">
        <v>9</v>
      </c>
      <c r="F5" s="8" t="s">
        <v>9</v>
      </c>
      <c r="G5" s="8"/>
      <c r="H5" s="8"/>
      <c r="I5" s="8"/>
      <c r="J5" s="8"/>
    </row>
    <row r="6" spans="1:10">
      <c r="A6" s="1" t="s">
        <v>14</v>
      </c>
      <c r="B6" s="3" t="s">
        <v>15</v>
      </c>
      <c r="C6" s="1">
        <f>3+(8/2)</f>
        <v>7</v>
      </c>
      <c r="D6" s="8" t="s">
        <v>9</v>
      </c>
      <c r="E6" s="8" t="s">
        <v>9</v>
      </c>
      <c r="F6" s="8" t="s">
        <v>9</v>
      </c>
      <c r="G6" s="8"/>
      <c r="H6" s="8"/>
      <c r="I6" s="8"/>
      <c r="J6" s="8"/>
    </row>
    <row r="7" spans="1:10">
      <c r="A7" s="1" t="s">
        <v>16</v>
      </c>
      <c r="B7" s="4" t="s">
        <v>17</v>
      </c>
      <c r="C7" s="1">
        <f>5-13*2</f>
        <v>-21</v>
      </c>
      <c r="D7" s="8" t="s">
        <v>9</v>
      </c>
      <c r="E7" s="8" t="s">
        <v>9</v>
      </c>
      <c r="F7" s="8" t="s">
        <v>9</v>
      </c>
      <c r="G7" s="8"/>
      <c r="H7" s="8"/>
      <c r="I7" s="8"/>
      <c r="J7" s="8"/>
    </row>
    <row r="8" spans="1:10">
      <c r="A8" s="1" t="s">
        <v>18</v>
      </c>
      <c r="B8" s="5" t="s">
        <v>19</v>
      </c>
      <c r="C8" s="1">
        <f xml:space="preserve"> (10/2)-3</f>
        <v>2</v>
      </c>
      <c r="D8" s="8" t="s">
        <v>9</v>
      </c>
      <c r="E8" s="8" t="s">
        <v>9</v>
      </c>
      <c r="F8" s="8" t="s">
        <v>9</v>
      </c>
      <c r="G8" s="8"/>
      <c r="H8" s="8"/>
      <c r="I8" s="8"/>
      <c r="J8" s="8"/>
    </row>
    <row r="9" spans="1:10">
      <c r="A9" s="1" t="s">
        <v>20</v>
      </c>
      <c r="B9" s="1" t="s">
        <v>21</v>
      </c>
      <c r="C9" s="1">
        <f>(2/3)^2-2*(1/4)+SQRT(2)</f>
        <v>1.3586580068175396</v>
      </c>
      <c r="D9" s="8" t="s">
        <v>9</v>
      </c>
      <c r="E9" s="8" t="s">
        <v>9</v>
      </c>
      <c r="F9" s="8" t="s">
        <v>9</v>
      </c>
      <c r="G9" s="8"/>
      <c r="H9" s="8"/>
      <c r="I9" s="8"/>
      <c r="J9" s="8"/>
    </row>
    <row r="10" spans="1:10">
      <c r="A10" s="1" t="s">
        <v>22</v>
      </c>
      <c r="B10" s="1" t="s">
        <v>23</v>
      </c>
      <c r="C10" s="1">
        <f>SQRT((10/3*11^2))</f>
        <v>20.083160441856091</v>
      </c>
      <c r="D10" s="8" t="s">
        <v>9</v>
      </c>
      <c r="E10" s="8" t="s">
        <v>9</v>
      </c>
      <c r="F10" s="8" t="s">
        <v>9</v>
      </c>
      <c r="G10" s="8"/>
      <c r="H10" s="8"/>
      <c r="I10" s="8"/>
      <c r="J10" s="8"/>
    </row>
    <row r="11" spans="1:10">
      <c r="A11" s="1" t="s">
        <v>24</v>
      </c>
      <c r="B11" s="1" t="s">
        <v>25</v>
      </c>
      <c r="C11" s="1">
        <f>(2^3/5)^2+(1.5)^-2-(2^3/4+(3/2))^-1+(3/3)</f>
        <v>3.7187301587301596</v>
      </c>
      <c r="D11" s="8" t="s">
        <v>9</v>
      </c>
      <c r="E11" s="8" t="s">
        <v>9</v>
      </c>
      <c r="F11" s="8" t="s">
        <v>9</v>
      </c>
      <c r="G11" s="8"/>
      <c r="H11" s="8"/>
      <c r="I11" s="8"/>
      <c r="J11" s="8"/>
    </row>
    <row r="12" spans="1:10">
      <c r="A12" s="1" t="s">
        <v>26</v>
      </c>
      <c r="B12" s="1" t="s">
        <v>27</v>
      </c>
      <c r="C12" s="1">
        <f>(2*(5*Tabela1[[#This Row],[INPUT 1]]+2)^3/2)/15</f>
        <v>15888.533333333333</v>
      </c>
      <c r="D12" s="8">
        <v>12</v>
      </c>
      <c r="E12" s="8" t="s">
        <v>9</v>
      </c>
      <c r="F12" s="8" t="s">
        <v>9</v>
      </c>
      <c r="G12" s="8"/>
      <c r="H12" s="8"/>
      <c r="I12" s="8"/>
      <c r="J12" s="8"/>
    </row>
    <row r="13" spans="1:10">
      <c r="A13" s="1" t="s">
        <v>28</v>
      </c>
      <c r="B13" s="1" t="s">
        <v>29</v>
      </c>
      <c r="C13" s="6">
        <f>(Tabela1[[#This Row],[INPUT 1]]^2)-(2*Tabela1[[#This Row],[INPUT 1]])+4</f>
        <v>3</v>
      </c>
      <c r="D13" s="8">
        <v>1</v>
      </c>
      <c r="E13" s="8" t="s">
        <v>9</v>
      </c>
      <c r="F13" s="8" t="s">
        <v>9</v>
      </c>
      <c r="G13" s="8"/>
      <c r="H13" s="8"/>
      <c r="I13" s="8"/>
      <c r="J13" s="8"/>
    </row>
    <row r="14" spans="1:10">
      <c r="A14" s="1" t="s">
        <v>30</v>
      </c>
      <c r="B14" s="1" t="s">
        <v>31</v>
      </c>
      <c r="C14" s="6" t="str">
        <f>IFERROR(((-#REF! + SQRT(#REF!^2 - (4*#REF!*#REF!))) / (2*#REF!)), "Sem raízes reais")</f>
        <v>Sem raízes reais</v>
      </c>
      <c r="D14" s="8">
        <v>1</v>
      </c>
      <c r="E14" s="10">
        <v>-5</v>
      </c>
      <c r="F14" s="8">
        <v>6</v>
      </c>
    </row>
    <row r="16" spans="1:10">
      <c r="A16" s="11" t="s">
        <v>32</v>
      </c>
      <c r="B16" s="11"/>
      <c r="C16" s="11"/>
      <c r="D16" s="11"/>
      <c r="E16" s="11"/>
      <c r="F16" s="11"/>
      <c r="G16" s="11"/>
    </row>
    <row r="17" spans="1:7">
      <c r="A17" s="18" t="s">
        <v>1</v>
      </c>
      <c r="B17" s="18" t="s">
        <v>2</v>
      </c>
      <c r="C17" s="20" t="s">
        <v>3</v>
      </c>
      <c r="D17" s="19" t="s">
        <v>4</v>
      </c>
      <c r="E17" s="19" t="s">
        <v>5</v>
      </c>
      <c r="F17" s="20" t="s">
        <v>6</v>
      </c>
      <c r="G17" s="20" t="s">
        <v>33</v>
      </c>
    </row>
    <row r="18" spans="1:7">
      <c r="A18" s="12" t="s">
        <v>7</v>
      </c>
      <c r="B18" s="12" t="s">
        <v>34</v>
      </c>
      <c r="C18">
        <f>Tabela2[[#This Row],[INPUT 1]]+Tabela2[[#This Row],[INPUT 2]]*Tabela2[[#This Row],[INPUT 3]]</f>
        <v>7</v>
      </c>
      <c r="D18" s="8">
        <v>1</v>
      </c>
      <c r="E18" s="7">
        <v>2</v>
      </c>
      <c r="F18" s="23">
        <f>Tabela2[[#This Row],[INPUT 2]] + 1</f>
        <v>3</v>
      </c>
      <c r="G18">
        <v>4</v>
      </c>
    </row>
    <row r="19" spans="1:7">
      <c r="A19" s="13" t="s">
        <v>10</v>
      </c>
      <c r="B19" s="1" t="s">
        <v>35</v>
      </c>
      <c r="C19">
        <f>(Tabela2[[#This Row],[INPUT 1]]+Tabela2[[#This Row],[INPUT 2]])*Tabela2[[#This Row],[INPUT 3]]</f>
        <v>9</v>
      </c>
      <c r="D19" s="8">
        <v>1</v>
      </c>
      <c r="E19" s="7">
        <v>2</v>
      </c>
      <c r="F19" s="23">
        <f>Tabela2[[#This Row],[INPUT 2]] + 1</f>
        <v>3</v>
      </c>
      <c r="G19">
        <v>4</v>
      </c>
    </row>
    <row r="20" spans="1:7">
      <c r="A20" s="21" t="s">
        <v>12</v>
      </c>
      <c r="B20" s="22" t="s">
        <v>36</v>
      </c>
      <c r="C20" s="27">
        <f>Tabela2[[#This Row],[INPUT 1]]+Tabela2[[#This Row],[INPUT 2]]/Tabela2[[#This Row],[INPUT 3]]</f>
        <v>1.6666666666666665</v>
      </c>
      <c r="D20" s="8">
        <v>1</v>
      </c>
      <c r="E20" s="7">
        <v>2</v>
      </c>
      <c r="F20" s="23">
        <f>Tabela2[[#This Row],[INPUT 2]] + 1</f>
        <v>3</v>
      </c>
      <c r="G20">
        <v>4</v>
      </c>
    </row>
    <row r="21" spans="1:7">
      <c r="A21" s="13" t="s">
        <v>14</v>
      </c>
      <c r="B21" s="14" t="s">
        <v>37</v>
      </c>
      <c r="C21">
        <f>(Tabela2[[#This Row],[INPUT 1]]+Tabela2[[#This Row],[INPUT 2]])/Tabela2[[#This Row],[INPUT 3]]</f>
        <v>1</v>
      </c>
      <c r="D21" s="8">
        <v>1</v>
      </c>
      <c r="E21" s="7">
        <v>2</v>
      </c>
      <c r="F21" s="23">
        <f>Tabela2[[#This Row],[INPUT 2]] + 1</f>
        <v>3</v>
      </c>
      <c r="G21">
        <v>4</v>
      </c>
    </row>
    <row r="22" spans="1:7">
      <c r="A22" s="12" t="s">
        <v>16</v>
      </c>
      <c r="B22" s="15" t="s">
        <v>38</v>
      </c>
      <c r="C22">
        <f>((Tabela2[[#This Row],[INPUT 1]]+Tabela2[[#This Row],[INPUT 2]])/Tabela2[[#This Row],[INPUT 3]])*Tabela2[[#This Row],[INPUT 4]]</f>
        <v>4</v>
      </c>
      <c r="D22" s="8">
        <v>1</v>
      </c>
      <c r="E22" s="7">
        <v>2</v>
      </c>
      <c r="F22" s="23">
        <f>Tabela2[[#This Row],[INPUT 2]] + 1</f>
        <v>3</v>
      </c>
      <c r="G22">
        <v>4</v>
      </c>
    </row>
    <row r="23" spans="1:7">
      <c r="A23" s="13" t="s">
        <v>18</v>
      </c>
      <c r="B23" s="16" t="s">
        <v>39</v>
      </c>
      <c r="C23">
        <f>(Tabela2[[#This Row],[INPUT 1]]+Tabela2[[#This Row],[INPUT 2]])/(Tabela2[[#This Row],[INPUT 3]]*Tabela2[[#This Row],[INPUT 4]])</f>
        <v>0.25</v>
      </c>
      <c r="D23" s="8">
        <v>1</v>
      </c>
      <c r="E23" s="7">
        <v>2</v>
      </c>
      <c r="F23" s="23">
        <f>Tabela2[[#This Row],[INPUT 2]] + 1</f>
        <v>3</v>
      </c>
      <c r="G23">
        <v>4</v>
      </c>
    </row>
    <row r="24" spans="1:7">
      <c r="A24" s="12" t="s">
        <v>20</v>
      </c>
      <c r="B24" s="12" t="s">
        <v>40</v>
      </c>
      <c r="C24">
        <f>((Tabela2[[#This Row],[INPUT 1]]+Tabela2[[#This Row],[INPUT 2]])/Tabela2[[#This Row],[INPUT 3]])+Tabela2[[#This Row],[INPUT 4]]</f>
        <v>5</v>
      </c>
      <c r="D24" s="8">
        <v>1</v>
      </c>
      <c r="E24" s="7">
        <v>2</v>
      </c>
      <c r="F24" s="23">
        <f>Tabela2[[#This Row],[INPUT 2]] + 1</f>
        <v>3</v>
      </c>
      <c r="G24">
        <v>4</v>
      </c>
    </row>
    <row r="25" spans="1:7">
      <c r="A25" s="13" t="s">
        <v>22</v>
      </c>
      <c r="B25" s="13" t="s">
        <v>41</v>
      </c>
      <c r="C25">
        <f>(Tabela2[[#This Row],[INPUT 1]]+Tabela2[[#This Row],[INPUT 2]])/(Tabela2[[#This Row],[INPUT 3]]+Tabela2[[#This Row],[INPUT 4]])</f>
        <v>0.42857142857142855</v>
      </c>
      <c r="D25" s="8">
        <v>1</v>
      </c>
      <c r="E25" s="7">
        <v>2</v>
      </c>
      <c r="F25" s="23">
        <f>Tabela2[[#This Row],[INPUT 2]] + 1</f>
        <v>3</v>
      </c>
      <c r="G25">
        <v>4</v>
      </c>
    </row>
    <row r="26" spans="1:7">
      <c r="A26" s="12" t="s">
        <v>24</v>
      </c>
      <c r="B26" s="12" t="s">
        <v>42</v>
      </c>
      <c r="C26">
        <f>Tabela2[[#This Row],[INPUT 1]]*Tabela2[[#This Row],[INPUT 2]]+(Tabela2[[#This Row],[INPUT 3]]/Tabela2[[#This Row],[INPUT 4]])</f>
        <v>2.75</v>
      </c>
      <c r="D26" s="8">
        <v>1</v>
      </c>
      <c r="E26" s="7">
        <v>2</v>
      </c>
      <c r="F26" s="23">
        <f>Tabela2[[#This Row],[INPUT 2]] + 1</f>
        <v>3</v>
      </c>
      <c r="G26">
        <v>4</v>
      </c>
    </row>
    <row r="27" spans="1:7">
      <c r="A27" s="13" t="s">
        <v>26</v>
      </c>
      <c r="B27" s="13" t="s">
        <v>43</v>
      </c>
      <c r="C27">
        <f>Tabela2[[#This Row],[INPUT 1]]-(Tabela2[[#This Row],[INPUT 2]]/Tabela2[[#This Row],[INPUT 3]])+Tabela2[[#This Row],[INPUT 4]]^2</f>
        <v>16.333333333333332</v>
      </c>
      <c r="D27" s="8">
        <v>1</v>
      </c>
      <c r="E27" s="7">
        <v>2</v>
      </c>
      <c r="F27" s="23">
        <f>Tabela2[[#This Row],[INPUT 2]] + 1</f>
        <v>3</v>
      </c>
      <c r="G27">
        <v>4</v>
      </c>
    </row>
    <row r="28" spans="1:7">
      <c r="A28" s="12" t="s">
        <v>28</v>
      </c>
      <c r="B28" s="12" t="s">
        <v>44</v>
      </c>
      <c r="C28">
        <f>(Tabela2[[#This Row],[INPUT 1]]+Tabela2[[#This Row],[INPUT 2]]^2)/Tabela2[[#This Row],[INPUT 3]]</f>
        <v>1.6666666666666667</v>
      </c>
      <c r="D28" s="8">
        <v>1</v>
      </c>
      <c r="E28" s="7">
        <v>2</v>
      </c>
      <c r="F28" s="23">
        <f>Tabela2[[#This Row],[INPUT 2]] + 1</f>
        <v>3</v>
      </c>
      <c r="G28">
        <v>4</v>
      </c>
    </row>
    <row r="29" spans="1:7">
      <c r="A29" s="17" t="s">
        <v>30</v>
      </c>
      <c r="B29" s="17" t="s">
        <v>45</v>
      </c>
      <c r="C29">
        <f>((Tabela2[[#This Row],[INPUT 1]]+Tabela2[[#This Row],[INPUT 2]])^2)/Tabela2[[#This Row],[INPUT 3]]</f>
        <v>3</v>
      </c>
      <c r="D29" s="8">
        <v>1</v>
      </c>
      <c r="E29" s="7">
        <v>2</v>
      </c>
      <c r="F29" s="23">
        <f>Tabela2[[#This Row],[INPUT 2]] + 1</f>
        <v>3</v>
      </c>
      <c r="G29">
        <v>4</v>
      </c>
    </row>
    <row r="30" spans="1:7">
      <c r="A30" s="13" t="s">
        <v>46</v>
      </c>
      <c r="B30" s="13" t="s">
        <v>47</v>
      </c>
      <c r="C30">
        <f>(Tabela2[[#This Row],[INPUT 1]]+Tabela2[[#This Row],[INPUT 2]])/Tabela2[[#This Row],[INPUT 3]]^2</f>
        <v>0.33333333333333331</v>
      </c>
      <c r="D30" s="8">
        <v>1</v>
      </c>
      <c r="E30" s="7">
        <v>2</v>
      </c>
      <c r="F30" s="23">
        <f>Tabela2[[#This Row],[INPUT 2]] + 1</f>
        <v>3</v>
      </c>
      <c r="G30">
        <v>4</v>
      </c>
    </row>
    <row r="31" spans="1:7">
      <c r="A31" s="13" t="s">
        <v>48</v>
      </c>
      <c r="B31" s="13" t="s">
        <v>49</v>
      </c>
      <c r="C31">
        <f>(Tabela2[[#This Row],[INPUT 1]]+Tabela2[[#This Row],[INPUT 2]]/Tabela2[[#This Row],[INPUT 3]])^2</f>
        <v>2.7777777777777772</v>
      </c>
      <c r="D31" s="8">
        <v>1</v>
      </c>
      <c r="E31" s="7">
        <v>2</v>
      </c>
      <c r="F31" s="23">
        <f>Tabela2[[#This Row],[INPUT 2]] + 1</f>
        <v>3</v>
      </c>
      <c r="G31">
        <v>4</v>
      </c>
    </row>
    <row r="32" spans="1:7">
      <c r="A32" s="13" t="s">
        <v>50</v>
      </c>
      <c r="B32" s="13" t="s">
        <v>51</v>
      </c>
      <c r="C32">
        <f>(SQRT(Tabela2[[#This Row],[INPUT 1]])+Tabela2[[#This Row],[INPUT 2]]^2)/Tabela2[[#This Row],[INPUT 3]]</f>
        <v>1.6666666666666667</v>
      </c>
      <c r="D32" s="8">
        <v>1</v>
      </c>
      <c r="E32" s="7">
        <v>2</v>
      </c>
      <c r="F32" s="23">
        <f>Tabela2[[#This Row],[INPUT 2]] + 1</f>
        <v>3</v>
      </c>
      <c r="G32">
        <v>4</v>
      </c>
    </row>
    <row r="33" spans="1:7">
      <c r="A33" s="13" t="s">
        <v>52</v>
      </c>
      <c r="B33" s="13" t="s">
        <v>53</v>
      </c>
      <c r="C33">
        <f>SQRT(Tabela2[[#This Row],[INPUT 1]]+Tabela2[[#This Row],[INPUT 2]]^2/Tabela2[[#This Row],[INPUT 3]])</f>
        <v>1.5275252316519465</v>
      </c>
      <c r="D33" s="8">
        <v>1</v>
      </c>
      <c r="E33" s="7">
        <v>2</v>
      </c>
      <c r="F33" s="23">
        <f>Tabela2[[#This Row],[INPUT 2]] + 1</f>
        <v>3</v>
      </c>
      <c r="G33">
        <v>4</v>
      </c>
    </row>
    <row r="34" spans="1:7">
      <c r="A34" s="13" t="s">
        <v>54</v>
      </c>
      <c r="B34" s="13" t="s">
        <v>55</v>
      </c>
      <c r="C34">
        <f>SQRT((Tabela2[[#This Row],[INPUT 1]]+Tabela2[[#This Row],[INPUT 2]])^2/Tabela2[[#This Row],[INPUT 3]])</f>
        <v>1.7320508075688772</v>
      </c>
      <c r="D34" s="8">
        <v>1</v>
      </c>
      <c r="E34" s="7">
        <v>2</v>
      </c>
      <c r="F34" s="23">
        <f>Tabela2[[#This Row],[INPUT 2]] + 1</f>
        <v>3</v>
      </c>
      <c r="G34">
        <v>4</v>
      </c>
    </row>
    <row r="35" spans="1:7">
      <c r="A35" s="13" t="s">
        <v>56</v>
      </c>
      <c r="B35" s="13" t="s">
        <v>57</v>
      </c>
      <c r="C35">
        <f>SQRT(Tabela2[[#This Row],[INPUT 1]]+Tabela2[[#This Row],[INPUT 2]]/Tabela2[[#This Row],[INPUT 3]]^2)</f>
        <v>1.1055415967851334</v>
      </c>
      <c r="D35" s="8">
        <v>1</v>
      </c>
      <c r="E35" s="7">
        <v>2</v>
      </c>
      <c r="F35" s="23">
        <f>Tabela2[[#This Row],[INPUT 2]] + 1</f>
        <v>3</v>
      </c>
      <c r="G35">
        <v>4</v>
      </c>
    </row>
    <row r="36" spans="1:7">
      <c r="A36" s="17" t="s">
        <v>58</v>
      </c>
      <c r="B36" s="17" t="s">
        <v>59</v>
      </c>
      <c r="C36" s="24">
        <f>SQRT(Tabela2[[#This Row],[INPUT 1]])+(Tabela2[[#This Row],[INPUT 2]]/Tabela2[[#This Row],[INPUT 3]])</f>
        <v>1.6666666666666665</v>
      </c>
      <c r="D36" s="8">
        <v>1</v>
      </c>
      <c r="E36" s="7">
        <v>2</v>
      </c>
      <c r="F36" s="23">
        <f>Tabela2[[#This Row],[INPUT 2]] + 1</f>
        <v>3</v>
      </c>
      <c r="G36">
        <v>4</v>
      </c>
    </row>
    <row r="39" spans="1:7">
      <c r="A39" s="25"/>
      <c r="B39" s="26"/>
    </row>
    <row r="40" spans="1:7">
      <c r="A40"/>
      <c r="B40" s="27"/>
    </row>
    <row r="41" spans="1:7">
      <c r="A41"/>
      <c r="B41" s="27"/>
    </row>
    <row r="42" spans="1:7">
      <c r="A42"/>
      <c r="B42" s="27"/>
    </row>
    <row r="43" spans="1:7">
      <c r="A43"/>
      <c r="B43" s="27"/>
    </row>
    <row r="44" spans="1:7">
      <c r="A44"/>
      <c r="B44" s="27"/>
    </row>
    <row r="45" spans="1:7">
      <c r="A45"/>
      <c r="B45" s="27"/>
    </row>
    <row r="46" spans="1:7">
      <c r="A46"/>
      <c r="B46" s="27"/>
      <c r="F46" s="28"/>
    </row>
    <row r="47" spans="1:7">
      <c r="A47"/>
      <c r="B47" s="27"/>
    </row>
    <row r="48" spans="1:7">
      <c r="A48"/>
      <c r="B48" s="27"/>
    </row>
    <row r="49" spans="1:2">
      <c r="A49"/>
      <c r="B49" s="27"/>
    </row>
    <row r="50" spans="1:2">
      <c r="A50"/>
      <c r="B50" s="27"/>
    </row>
    <row r="51" spans="1:2">
      <c r="A51"/>
      <c r="B51" s="27"/>
    </row>
    <row r="52" spans="1:2">
      <c r="A52"/>
      <c r="B52" s="27"/>
    </row>
    <row r="53" spans="1:2">
      <c r="A53"/>
      <c r="B53" s="27"/>
    </row>
    <row r="54" spans="1:2">
      <c r="A54"/>
      <c r="B54" s="27"/>
    </row>
    <row r="55" spans="1:2">
      <c r="A55"/>
      <c r="B55" s="27"/>
    </row>
    <row r="56" spans="1:2">
      <c r="A56"/>
      <c r="B56" s="27"/>
    </row>
    <row r="57" spans="1:2">
      <c r="A57"/>
      <c r="B57" s="27"/>
    </row>
    <row r="58" spans="1:2">
      <c r="A58"/>
      <c r="B58" s="27"/>
    </row>
  </sheetData>
  <mergeCells count="2">
    <mergeCell ref="A1:F1"/>
    <mergeCell ref="A16:G16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2026-03-14T01:11:59Z</dcterms:created>
  <dcterms:modified xsi:type="dcterms:W3CDTF">2026-03-14T03:01:15Z</dcterms:modified>
  <cp:category/>
  <cp:contentStatus/>
</cp:coreProperties>
</file>