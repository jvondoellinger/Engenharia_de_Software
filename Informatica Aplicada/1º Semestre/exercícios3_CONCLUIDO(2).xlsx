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G:\INFORMÁTICA APLICADA\2026\Aula 2\"/>
    </mc:Choice>
  </mc:AlternateContent>
  <xr:revisionPtr revIDLastSave="0" documentId="8_{905AF0F3-9F83-43E1-87AF-B93C4AE43CC4}" xr6:coauthVersionLast="47" xr6:coauthVersionMax="47" xr10:uidLastSave="{00000000-0000-0000-0000-000000000000}"/>
  <bookViews>
    <workbookView xWindow="-120" yWindow="-120" windowWidth="20730" windowHeight="11040" tabRatio="839" activeTab="4" xr2:uid="{00000000-000D-0000-FFFF-FFFF00000000}"/>
  </bookViews>
  <sheets>
    <sheet name="Exercício 1" sheetId="1" r:id="rId1"/>
    <sheet name="Exercício 2" sheetId="2" r:id="rId2"/>
    <sheet name="Exercício 3" sheetId="7" r:id="rId3"/>
    <sheet name="Exercício 4" sheetId="8" r:id="rId4"/>
    <sheet name="Exercício 5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9" l="1"/>
  <c r="F14" i="9"/>
  <c r="E14" i="9"/>
  <c r="D14" i="9"/>
  <c r="C14" i="9"/>
  <c r="F13" i="9"/>
  <c r="E13" i="9"/>
  <c r="D13" i="9"/>
  <c r="C13" i="9"/>
  <c r="G12" i="9"/>
  <c r="G11" i="9"/>
  <c r="G10" i="9"/>
  <c r="G9" i="9"/>
  <c r="G8" i="9"/>
  <c r="G7" i="9"/>
  <c r="G4" i="9"/>
  <c r="I5" i="8"/>
  <c r="I12" i="8"/>
  <c r="I11" i="8"/>
  <c r="I10" i="8"/>
  <c r="I9" i="8"/>
  <c r="I8" i="8"/>
  <c r="I7" i="8"/>
  <c r="I6" i="8"/>
  <c r="H12" i="8"/>
  <c r="H11" i="8"/>
  <c r="H10" i="8"/>
  <c r="H9" i="8"/>
  <c r="H8" i="8"/>
  <c r="H7" i="8"/>
  <c r="H6" i="8"/>
  <c r="H5" i="8"/>
  <c r="G12" i="8"/>
  <c r="G11" i="8"/>
  <c r="G10" i="8"/>
  <c r="G9" i="8"/>
  <c r="G8" i="8"/>
  <c r="G7" i="8"/>
  <c r="G6" i="8"/>
  <c r="G5" i="8"/>
  <c r="H16" i="7"/>
  <c r="G16" i="7"/>
  <c r="F16" i="7"/>
  <c r="E16" i="7"/>
  <c r="D16" i="7"/>
  <c r="C16" i="7"/>
  <c r="H15" i="7"/>
  <c r="G15" i="7"/>
  <c r="F15" i="7"/>
  <c r="E15" i="7"/>
  <c r="D15" i="7"/>
  <c r="C15" i="7"/>
  <c r="F10" i="2"/>
  <c r="F9" i="2"/>
  <c r="F8" i="2"/>
  <c r="F6" i="2"/>
  <c r="F5" i="2"/>
  <c r="F4" i="2"/>
  <c r="F7" i="2"/>
  <c r="E10" i="2"/>
  <c r="E9" i="2"/>
  <c r="E8" i="2"/>
  <c r="E7" i="2"/>
  <c r="E6" i="2"/>
  <c r="E5" i="2"/>
  <c r="E4" i="2"/>
  <c r="D19" i="1"/>
  <c r="H18" i="1"/>
  <c r="G18" i="1"/>
  <c r="F18" i="1"/>
  <c r="E18" i="1"/>
  <c r="H9" i="1"/>
  <c r="G9" i="1"/>
  <c r="F9" i="1"/>
  <c r="E9" i="1"/>
  <c r="D18" i="1"/>
  <c r="D9" i="1"/>
  <c r="H17" i="1"/>
  <c r="H16" i="1"/>
  <c r="H15" i="1"/>
  <c r="H14" i="1"/>
  <c r="H13" i="1"/>
  <c r="H12" i="1"/>
  <c r="G17" i="1"/>
  <c r="G16" i="1"/>
  <c r="G15" i="1"/>
  <c r="G14" i="1"/>
  <c r="G13" i="1"/>
  <c r="G12" i="1"/>
  <c r="H8" i="1"/>
  <c r="H7" i="1"/>
  <c r="H6" i="1"/>
  <c r="H5" i="1"/>
  <c r="H4" i="1"/>
  <c r="G8" i="1"/>
  <c r="G7" i="1"/>
  <c r="G6" i="1"/>
  <c r="G5" i="1"/>
  <c r="G4" i="1"/>
  <c r="H3" i="1"/>
  <c r="G3" i="1"/>
</calcChain>
</file>

<file path=xl/sharedStrings.xml><?xml version="1.0" encoding="utf-8"?>
<sst xmlns="http://schemas.openxmlformats.org/spreadsheetml/2006/main" count="101" uniqueCount="86">
  <si>
    <t>Código</t>
  </si>
  <si>
    <t>Produto</t>
  </si>
  <si>
    <t>Jan</t>
  </si>
  <si>
    <t>Fev</t>
  </si>
  <si>
    <t>Mar</t>
  </si>
  <si>
    <t>Total 1° trim.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</si>
  <si>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</si>
  <si>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</si>
  <si>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</si>
  <si>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</si>
  <si>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</si>
  <si>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</si>
  <si>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</si>
  <si>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</si>
  <si>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</si>
  <si>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</si>
  <si>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</si>
  <si>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2° trim.</t>
  </si>
  <si>
    <t>Total do Semestre</t>
  </si>
  <si>
    <t>valor do dólar</t>
  </si>
  <si>
    <t>Produtos</t>
  </si>
  <si>
    <t>Qtde</t>
  </si>
  <si>
    <t>Preço Unit. (R$)</t>
  </si>
  <si>
    <t>Total (R$)</t>
  </si>
  <si>
    <t>Total (US$)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</si>
  <si>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</si>
  <si>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</si>
  <si>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</si>
  <si>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</si>
  <si>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</si>
  <si>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</si>
  <si>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</si>
  <si>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CONTAS A PAGAR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</si>
  <si>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</si>
  <si>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</si>
  <si>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</si>
  <si>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</si>
  <si>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</si>
  <si>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</si>
  <si>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</si>
  <si>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</si>
  <si>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</si>
  <si>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</si>
  <si>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</si>
  <si>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</si>
  <si>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</si>
  <si>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</si>
  <si>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</si>
  <si>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</si>
  <si>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</si>
  <si>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</si>
  <si>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Araras Informática - Hardware e Software</t>
  </si>
  <si>
    <t>Rua São Francisco de Assis, 123 – Resende - RJ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</si>
  <si>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</si>
  <si>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</si>
  <si>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</si>
  <si>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</si>
  <si>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</si>
  <si>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</si>
  <si>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</si>
  <si>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</si>
  <si>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</si>
  <si>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 xml:space="preserve">Maria </t>
  </si>
  <si>
    <t>Helena</t>
  </si>
  <si>
    <t>Gabriela</t>
  </si>
  <si>
    <t>Edson</t>
  </si>
  <si>
    <t>Elisangela</t>
  </si>
  <si>
    <t>Regina</t>
  </si>
  <si>
    <t>Paulo</t>
  </si>
  <si>
    <t>Projeção para o ano de 2010</t>
  </si>
  <si>
    <t>Receita bruta</t>
  </si>
  <si>
    <t>Jan-Mar</t>
  </si>
  <si>
    <t>Abr-Jun</t>
  </si>
  <si>
    <t>Jul-Set</t>
  </si>
  <si>
    <t>Out-Dez</t>
  </si>
  <si>
    <t>Total do Ano</t>
  </si>
  <si>
    <t>Despesas</t>
  </si>
  <si>
    <t>Salários</t>
  </si>
  <si>
    <t>Juros</t>
  </si>
  <si>
    <t>Aluguel</t>
  </si>
  <si>
    <t>Propaganda</t>
  </si>
  <si>
    <t>Suprimentos</t>
  </si>
  <si>
    <t>Diversos</t>
  </si>
  <si>
    <t>Total do Trim.</t>
  </si>
  <si>
    <t>Receita líquida</t>
  </si>
  <si>
    <t xml:space="preserve">Valor Acumulado do ano de despesas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</si>
</sst>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justify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right" vertical="center" wrapText="1"/>
    </xf>
    <xf numFmtId="8" fontId="3" fillId="0" borderId="11" xfId="0" applyNumberFormat="1" applyFont="1" applyBorder="1" applyAlignment="1">
      <alignment horizontal="right" vertical="center" wrapText="1"/>
    </xf>
    <xf numFmtId="10" fontId="3" fillId="0" borderId="11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1" fillId="0" borderId="0" xfId="0" applyFont="1"/>
    <xf numFmtId="4" fontId="0" fillId="0" borderId="3" xfId="0" applyNumberFormat="1" applyBorder="1"/>
    <xf numFmtId="4" fontId="0" fillId="0" borderId="0" xfId="0" applyNumberFormat="1"/>
    <xf numFmtId="4" fontId="0" fillId="0" borderId="8" xfId="0" applyNumberFormat="1" applyBorder="1"/>
    <xf numFmtId="0" fontId="1" fillId="0" borderId="6" xfId="0" applyFont="1" applyBorder="1"/>
    <xf numFmtId="4" fontId="0" fillId="0" borderId="6" xfId="0" applyNumberFormat="1" applyBorder="1"/>
    <xf numFmtId="0" fontId="1" fillId="0" borderId="1" xfId="0" applyFont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8" fontId="3" fillId="0" borderId="14" xfId="0" applyNumberFormat="1" applyFont="1" applyBorder="1" applyAlignment="1">
      <alignment horizontal="right" vertical="center" wrapText="1"/>
    </xf>
    <xf numFmtId="8" fontId="3" fillId="0" borderId="18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8" fontId="3" fillId="0" borderId="20" xfId="0" applyNumberFormat="1" applyFont="1" applyBorder="1" applyAlignment="1">
      <alignment horizontal="right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4" fillId="4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vertical="center"/>
    </xf>
    <xf numFmtId="0" fontId="3" fillId="0" borderId="9" xfId="0" applyFont="1" applyBorder="1" applyAlignment="1">
      <alignment horizontal="right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4" fontId="0" fillId="0" borderId="12" xfId="0" applyNumberFormat="1" applyBorder="1"/>
    <xf numFmtId="4" fontId="5" fillId="0" borderId="0" xfId="0" applyNumberFormat="1" applyFont="1"/>
    <xf numFmtId="0" fontId="5" fillId="0" borderId="0" xfId="0" applyFont="1"/>
    <xf numFmtId="4" fontId="3" fillId="0" borderId="1" xfId="0" applyNumberFormat="1" applyFont="1" applyBorder="1" applyAlignment="1">
      <alignment horizontal="righ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0"/>
  <sheetViews>
    <sheetView workbookViewId="0">
      <selection activeCell="E20" sqref="E20"/>
    </sheetView>
  </sheetViews>
  <sheetFormatPr defaultRowHeight="15"/>
  <cols>
    <col min="1" max="1" width="4.85546875" customWidth="1"/>
    <col min="4" max="4" width="21.5703125" bestFit="1" customWidth="1"/>
    <col min="7" max="7" width="12.28515625" bestFit="1" customWidth="1"/>
    <col min="8" max="8" width="12.140625" customWidth="1"/>
  </cols>
  <sheetData>
    <row r="1" spans="2:8" ht="15.75" thickBot="1"/>
    <row r="2" spans="2:8" ht="15.75" thickBot="1">
      <c r="B2" s="20" t="s">
        <v>0</v>
      </c>
      <c r="C2" s="22" t="s">
        <v>1</v>
      </c>
      <c r="D2" s="53" t="s">
        <v>2</v>
      </c>
      <c r="E2" s="53" t="s">
        <v>3</v>
      </c>
      <c r="F2" s="53" t="s">
        <v>4</v>
      </c>
      <c r="G2" s="22" t="s">
        <v>5</v>
      </c>
      <c r="H2" s="53" t="s">
        <v>6</v>
      </c>
    </row>
    <row r="3" spans="2:8">
      <c r="B3" s="23">
        <v>1</v>
      </c>
      <c r="C3" s="2" t="s">
        <v>7</v>
      </c>
      <c r="D3" s="17">
        <v>4500</v>
      </c>
      <c r="E3" s="17">
        <v>5040</v>
      </c>
      <c r="F3" s="17">
        <v>5696</v>
      </c>
      <c r="G3" s="71">
        <f>SUM(D3,E3,F3)</f>
        <v>15236</v>
      </c>
      <c r="H3" s="18">
        <f>AVERAGE(D3,E3,F3)</f>
        <v>5078.666666666667</v>
      </c>
    </row>
    <row r="4" spans="2:8">
      <c r="B4" s="23">
        <v>2</v>
      </c>
      <c r="C4" s="2" t="s">
        <v>8</v>
      </c>
      <c r="D4" s="18">
        <v>6250</v>
      </c>
      <c r="E4" s="18">
        <v>7000</v>
      </c>
      <c r="F4" s="18">
        <v>7910</v>
      </c>
      <c r="G4" s="71">
        <f>SUM(D4,E4,F4)</f>
        <v>21160</v>
      </c>
      <c r="H4" s="18">
        <f t="shared" ref="H4:H8" si="0">AVERAGE(D4,E4,F4)</f>
        <v>7053.333333333333</v>
      </c>
    </row>
    <row r="5" spans="2:8">
      <c r="B5" s="23">
        <v>3</v>
      </c>
      <c r="C5" s="2" t="s">
        <v>9</v>
      </c>
      <c r="D5" s="18">
        <v>3300</v>
      </c>
      <c r="E5" s="18">
        <v>3696</v>
      </c>
      <c r="F5" s="18">
        <v>4176</v>
      </c>
      <c r="G5" s="71">
        <f>SUM(D5,E5,F5)</f>
        <v>11172</v>
      </c>
      <c r="H5" s="18">
        <f t="shared" si="0"/>
        <v>3724</v>
      </c>
    </row>
    <row r="6" spans="2:8">
      <c r="B6" s="23">
        <v>4</v>
      </c>
      <c r="C6" s="2" t="s">
        <v>10</v>
      </c>
      <c r="D6" s="18">
        <v>8000</v>
      </c>
      <c r="E6" s="18">
        <v>8690</v>
      </c>
      <c r="F6" s="18">
        <v>10125</v>
      </c>
      <c r="G6" s="71">
        <f t="shared" ref="G6:G8" si="1">SUM(D6,E6,F6)</f>
        <v>26815</v>
      </c>
      <c r="H6" s="18">
        <f t="shared" si="0"/>
        <v>8938.3333333333339</v>
      </c>
    </row>
    <row r="7" spans="2:8">
      <c r="B7" s="23">
        <v>5</v>
      </c>
      <c r="C7" s="2" t="s">
        <v>11</v>
      </c>
      <c r="D7" s="18">
        <v>4557</v>
      </c>
      <c r="E7" s="18">
        <v>5104</v>
      </c>
      <c r="F7" s="18">
        <v>5676</v>
      </c>
      <c r="G7" s="71">
        <f t="shared" si="1"/>
        <v>15337</v>
      </c>
      <c r="H7" s="18">
        <f t="shared" si="0"/>
        <v>5112.333333333333</v>
      </c>
    </row>
    <row r="8" spans="2:8" ht="15.75" thickBot="1">
      <c r="B8" s="23">
        <v>6</v>
      </c>
      <c r="C8" s="2" t="s">
        <v>12</v>
      </c>
      <c r="D8" s="19">
        <v>3260</v>
      </c>
      <c r="E8" s="19">
        <v>3640</v>
      </c>
      <c r="F8" s="19">
        <v>4113</v>
      </c>
      <c r="G8" s="71">
        <f t="shared" si="1"/>
        <v>11013</v>
      </c>
      <c r="H8" s="18">
        <f t="shared" si="0"/>
        <v>3671</v>
      </c>
    </row>
    <row r="9" spans="2:8">
      <c r="B9" s="54" t="s">
        <v>13</v>
      </c>
      <c r="C9" s="55"/>
      <c r="D9" s="21">
        <f>SUM(D3:D8)</f>
        <v>29867</v>
      </c>
      <c r="E9" s="21">
        <f>SUM(E3:E8)</f>
        <v>33170</v>
      </c>
      <c r="F9" s="21">
        <f>SUM(F3:F8)</f>
        <v>37696</v>
      </c>
      <c r="G9" s="21">
        <f t="shared" ref="G9:H9" si="2">SUM(G3:G8)</f>
        <v>100733</v>
      </c>
      <c r="H9" s="21">
        <f t="shared" si="2"/>
        <v>33577.666666666672</v>
      </c>
    </row>
    <row r="11" spans="2:8">
      <c r="B11" s="20" t="s">
        <v>0</v>
      </c>
      <c r="C11" s="22" t="s">
        <v>1</v>
      </c>
      <c r="D11" s="53" t="s">
        <v>14</v>
      </c>
      <c r="E11" s="53" t="s">
        <v>15</v>
      </c>
      <c r="F11" s="53" t="s">
        <v>16</v>
      </c>
      <c r="G11" s="22" t="s">
        <v>17</v>
      </c>
      <c r="H11" s="53" t="s">
        <v>6</v>
      </c>
    </row>
    <row r="12" spans="2:8">
      <c r="B12" s="23">
        <v>1</v>
      </c>
      <c r="C12" s="2" t="s">
        <v>7</v>
      </c>
      <c r="D12" s="17">
        <v>6265</v>
      </c>
      <c r="E12" s="17">
        <v>6954</v>
      </c>
      <c r="F12" s="17">
        <v>7858</v>
      </c>
      <c r="G12" s="71">
        <f>SUM(D12,E12,F12)</f>
        <v>21077</v>
      </c>
      <c r="H12" s="72">
        <f>AVERAGE(D12,E12,F12)</f>
        <v>7025.666666666667</v>
      </c>
    </row>
    <row r="13" spans="2:8">
      <c r="B13" s="23">
        <v>2</v>
      </c>
      <c r="C13" s="2" t="s">
        <v>8</v>
      </c>
      <c r="D13" s="18">
        <v>8701</v>
      </c>
      <c r="E13" s="18">
        <v>9658</v>
      </c>
      <c r="F13" s="18">
        <v>10197</v>
      </c>
      <c r="G13" s="71">
        <f>SUM(D13,E13,F13)</f>
        <v>28556</v>
      </c>
      <c r="H13" s="72">
        <f t="shared" ref="H13:H17" si="3">AVERAGE(D13,E13,F13)</f>
        <v>9518.6666666666661</v>
      </c>
    </row>
    <row r="14" spans="2:8">
      <c r="B14" s="23">
        <v>3</v>
      </c>
      <c r="C14" s="2" t="s">
        <v>9</v>
      </c>
      <c r="D14" s="18">
        <v>4569</v>
      </c>
      <c r="E14" s="18">
        <v>5099</v>
      </c>
      <c r="F14" s="18">
        <v>5769</v>
      </c>
      <c r="G14" s="71">
        <f>SUM(D14,E14,F14)</f>
        <v>15437</v>
      </c>
      <c r="H14" s="72">
        <f t="shared" si="3"/>
        <v>5145.666666666667</v>
      </c>
    </row>
    <row r="15" spans="2:8">
      <c r="B15" s="23">
        <v>4</v>
      </c>
      <c r="C15" s="2" t="s">
        <v>10</v>
      </c>
      <c r="D15" s="18">
        <v>12341</v>
      </c>
      <c r="E15" s="18">
        <v>12365</v>
      </c>
      <c r="F15" s="18">
        <v>13969</v>
      </c>
      <c r="G15" s="71">
        <f t="shared" ref="G15:G17" si="4">SUM(D15,E15,F15)</f>
        <v>38675</v>
      </c>
      <c r="H15" s="72">
        <f t="shared" si="3"/>
        <v>12891.666666666666</v>
      </c>
    </row>
    <row r="16" spans="2:8">
      <c r="B16" s="23">
        <v>5</v>
      </c>
      <c r="C16" s="2" t="s">
        <v>11</v>
      </c>
      <c r="D16" s="18">
        <v>6344</v>
      </c>
      <c r="E16" s="18">
        <v>7042</v>
      </c>
      <c r="F16" s="18">
        <v>7957</v>
      </c>
      <c r="G16" s="71">
        <f t="shared" si="4"/>
        <v>21343</v>
      </c>
      <c r="H16" s="72">
        <f t="shared" si="3"/>
        <v>7114.333333333333</v>
      </c>
    </row>
    <row r="17" spans="2:8">
      <c r="B17" s="23">
        <v>6</v>
      </c>
      <c r="C17" s="2" t="s">
        <v>12</v>
      </c>
      <c r="D17" s="19">
        <v>4525</v>
      </c>
      <c r="E17" s="19">
        <v>5022</v>
      </c>
      <c r="F17" s="19">
        <v>5671</v>
      </c>
      <c r="G17" s="71">
        <f t="shared" si="4"/>
        <v>15218</v>
      </c>
      <c r="H17" s="72">
        <f t="shared" si="3"/>
        <v>5072.666666666667</v>
      </c>
    </row>
    <row r="18" spans="2:8" ht="15.75" thickBot="1">
      <c r="B18" s="54" t="s">
        <v>13</v>
      </c>
      <c r="C18" s="55"/>
      <c r="D18" s="21">
        <f>SUM(D12:D17)</f>
        <v>42745</v>
      </c>
      <c r="E18" s="21">
        <f t="shared" ref="E18:H18" si="5">SUM(E12:E17)</f>
        <v>46140</v>
      </c>
      <c r="F18" s="21">
        <f t="shared" si="5"/>
        <v>51421</v>
      </c>
      <c r="G18" s="21">
        <f t="shared" si="5"/>
        <v>140306</v>
      </c>
      <c r="H18" s="21">
        <f t="shared" si="5"/>
        <v>46768.666666666664</v>
      </c>
    </row>
    <row r="19" spans="2:8" ht="15.75" thickBot="1">
      <c r="B19" s="54" t="s">
        <v>18</v>
      </c>
      <c r="C19" s="55"/>
      <c r="D19" s="21">
        <f>SUM(D9:F9,D18:F18)</f>
        <v>241039</v>
      </c>
    </row>
    <row r="20" spans="2:8">
      <c r="B20" s="16"/>
    </row>
  </sheetData>
  <mergeCells count="3">
    <mergeCell ref="B19:C19"/>
    <mergeCell ref="B9:C9"/>
    <mergeCell ref="B18:C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0"/>
  <sheetViews>
    <sheetView workbookViewId="0">
      <selection activeCell="H8" sqref="H8"/>
    </sheetView>
  </sheetViews>
  <sheetFormatPr defaultRowHeight="15"/>
  <cols>
    <col min="1" max="1" width="4" customWidth="1"/>
    <col min="2" max="2" width="15.85546875" bestFit="1" customWidth="1"/>
    <col min="4" max="4" width="14.85546875" bestFit="1" customWidth="1"/>
    <col min="5" max="5" width="10.5703125" customWidth="1"/>
    <col min="6" max="6" width="10.5703125" bestFit="1" customWidth="1"/>
  </cols>
  <sheetData>
    <row r="1" spans="2:6" ht="15.75" thickBot="1"/>
    <row r="2" spans="2:6" ht="15.75" thickBot="1">
      <c r="B2" s="25" t="s">
        <v>19</v>
      </c>
      <c r="C2" s="25">
        <v>2.94</v>
      </c>
    </row>
    <row r="3" spans="2:6">
      <c r="B3" s="25" t="s">
        <v>20</v>
      </c>
      <c r="C3" s="25" t="s">
        <v>21</v>
      </c>
      <c r="D3" s="25" t="s">
        <v>22</v>
      </c>
      <c r="E3" s="25" t="s">
        <v>23</v>
      </c>
      <c r="F3" s="25" t="s">
        <v>24</v>
      </c>
    </row>
    <row r="4" spans="2:6">
      <c r="B4" t="s">
        <v>25</v>
      </c>
      <c r="C4" s="3">
        <v>500</v>
      </c>
      <c r="D4" s="24">
        <v>0.15</v>
      </c>
      <c r="E4" s="3">
        <f>PRODUCT(C4:D4)</f>
        <v>75</v>
      </c>
      <c r="F4" s="3">
        <f>E4/C2</f>
        <v>25.510204081632654</v>
      </c>
    </row>
    <row r="5" spans="2:6">
      <c r="B5" t="s">
        <v>26</v>
      </c>
      <c r="C5" s="3">
        <v>750</v>
      </c>
      <c r="D5" s="24">
        <v>0.15</v>
      </c>
      <c r="E5" s="3">
        <f t="shared" ref="E5:E10" si="0">PRODUCT(C5:D5)</f>
        <v>112.5</v>
      </c>
      <c r="F5" s="3">
        <f>E5/C2</f>
        <v>38.265306122448983</v>
      </c>
    </row>
    <row r="6" spans="2:6">
      <c r="B6" t="s">
        <v>27</v>
      </c>
      <c r="C6" s="3">
        <v>250</v>
      </c>
      <c r="D6" s="24">
        <v>10</v>
      </c>
      <c r="E6" s="3">
        <f t="shared" si="0"/>
        <v>2500</v>
      </c>
      <c r="F6" s="3">
        <f>E6/C2</f>
        <v>850.34013605442181</v>
      </c>
    </row>
    <row r="7" spans="2:6">
      <c r="B7" t="s">
        <v>28</v>
      </c>
      <c r="C7" s="3">
        <v>310</v>
      </c>
      <c r="D7" s="24">
        <v>0.5</v>
      </c>
      <c r="E7" s="3">
        <f t="shared" si="0"/>
        <v>155</v>
      </c>
      <c r="F7" s="3">
        <f>E7/C2</f>
        <v>52.721088435374149</v>
      </c>
    </row>
    <row r="8" spans="2:6">
      <c r="B8" t="s">
        <v>29</v>
      </c>
      <c r="C8" s="3">
        <v>500</v>
      </c>
      <c r="D8" s="24">
        <v>0.1</v>
      </c>
      <c r="E8" s="3">
        <f t="shared" si="0"/>
        <v>50</v>
      </c>
      <c r="F8" s="3">
        <f>E8/C2</f>
        <v>17.006802721088437</v>
      </c>
    </row>
    <row r="9" spans="2:6">
      <c r="B9" t="s">
        <v>30</v>
      </c>
      <c r="C9" s="3">
        <v>1500</v>
      </c>
      <c r="D9" s="24">
        <v>2.5</v>
      </c>
      <c r="E9" s="3">
        <f t="shared" si="0"/>
        <v>3750</v>
      </c>
      <c r="F9" s="3">
        <f>E9/C2</f>
        <v>1275.5102040816328</v>
      </c>
    </row>
    <row r="10" spans="2:6">
      <c r="B10" s="1" t="s">
        <v>31</v>
      </c>
      <c r="C10" s="15">
        <v>190</v>
      </c>
      <c r="D10" s="26">
        <v>6</v>
      </c>
      <c r="E10" s="3">
        <f t="shared" si="0"/>
        <v>1140</v>
      </c>
      <c r="F10" s="3">
        <f>E10/C2</f>
        <v>387.75510204081633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7"/>
  <sheetViews>
    <sheetView workbookViewId="0">
      <selection activeCell="J15" sqref="J15"/>
    </sheetView>
  </sheetViews>
  <sheetFormatPr defaultRowHeight="15"/>
  <cols>
    <col min="1" max="1" width="3.7109375" customWidth="1"/>
    <col min="2" max="2" width="18.28515625" bestFit="1" customWidth="1"/>
    <col min="3" max="8" width="13.85546875" customWidth="1"/>
  </cols>
  <sheetData>
    <row r="2" spans="2:10" ht="15.75" thickBot="1">
      <c r="B2" s="4"/>
    </row>
    <row r="3" spans="2:10" ht="18" customHeight="1" thickBot="1">
      <c r="C3" s="56" t="s">
        <v>32</v>
      </c>
      <c r="D3" s="57"/>
      <c r="E3" s="57"/>
      <c r="F3" s="57"/>
      <c r="G3" s="57"/>
      <c r="H3" s="58"/>
    </row>
    <row r="4" spans="2:10" ht="15.75" thickBot="1">
      <c r="B4" s="7"/>
      <c r="C4" s="36" t="s">
        <v>33</v>
      </c>
      <c r="D4" s="33" t="s">
        <v>34</v>
      </c>
      <c r="E4" s="32" t="s">
        <v>35</v>
      </c>
      <c r="F4" s="32" t="s">
        <v>36</v>
      </c>
      <c r="G4" s="32" t="s">
        <v>37</v>
      </c>
      <c r="H4" s="34" t="s">
        <v>38</v>
      </c>
    </row>
    <row r="5" spans="2:10">
      <c r="B5" s="37" t="s">
        <v>39</v>
      </c>
      <c r="C5" s="27">
        <v>500</v>
      </c>
      <c r="D5" s="27">
        <v>750</v>
      </c>
      <c r="E5" s="27">
        <v>800</v>
      </c>
      <c r="F5" s="27">
        <v>700</v>
      </c>
      <c r="G5" s="27">
        <v>654</v>
      </c>
      <c r="H5" s="28">
        <v>700</v>
      </c>
    </row>
    <row r="6" spans="2:10">
      <c r="B6" s="40" t="s">
        <v>40</v>
      </c>
      <c r="C6" s="29"/>
      <c r="D6" s="29"/>
      <c r="E6" s="29"/>
      <c r="F6" s="29"/>
      <c r="G6" s="29"/>
      <c r="H6" s="30"/>
    </row>
    <row r="7" spans="2:10">
      <c r="B7" s="35" t="s">
        <v>41</v>
      </c>
      <c r="C7" s="27">
        <v>10</v>
      </c>
      <c r="D7" s="27">
        <v>15</v>
      </c>
      <c r="E7" s="27">
        <v>15</v>
      </c>
      <c r="F7" s="27">
        <v>12</v>
      </c>
      <c r="G7" s="27">
        <v>12</v>
      </c>
      <c r="H7" s="28">
        <v>11</v>
      </c>
    </row>
    <row r="8" spans="2:10">
      <c r="B8" s="35" t="s">
        <v>42</v>
      </c>
      <c r="C8" s="27">
        <v>50</v>
      </c>
      <c r="D8" s="27">
        <v>60</v>
      </c>
      <c r="E8" s="27">
        <v>54</v>
      </c>
      <c r="F8" s="27">
        <v>55</v>
      </c>
      <c r="G8" s="27">
        <v>54</v>
      </c>
      <c r="H8" s="28">
        <v>56</v>
      </c>
    </row>
    <row r="9" spans="2:10">
      <c r="B9" s="35" t="s">
        <v>43</v>
      </c>
      <c r="C9" s="27">
        <v>300</v>
      </c>
      <c r="D9" s="27">
        <v>250</v>
      </c>
      <c r="E9" s="27">
        <v>300</v>
      </c>
      <c r="F9" s="27">
        <v>300</v>
      </c>
      <c r="G9" s="27">
        <v>200</v>
      </c>
      <c r="H9" s="28">
        <v>200</v>
      </c>
    </row>
    <row r="10" spans="2:10">
      <c r="B10" s="35" t="s">
        <v>44</v>
      </c>
      <c r="C10" s="27">
        <v>40</v>
      </c>
      <c r="D10" s="27">
        <v>40</v>
      </c>
      <c r="E10" s="27">
        <v>40</v>
      </c>
      <c r="F10" s="27">
        <v>40</v>
      </c>
      <c r="G10" s="27">
        <v>40</v>
      </c>
      <c r="H10" s="28">
        <v>40</v>
      </c>
    </row>
    <row r="11" spans="2:10">
      <c r="B11" s="35" t="s">
        <v>45</v>
      </c>
      <c r="C11" s="27">
        <v>10</v>
      </c>
      <c r="D11" s="27">
        <v>15</v>
      </c>
      <c r="E11" s="27">
        <v>14</v>
      </c>
      <c r="F11" s="27">
        <v>15</v>
      </c>
      <c r="G11" s="27">
        <v>20</v>
      </c>
      <c r="H11" s="28">
        <v>31</v>
      </c>
    </row>
    <row r="12" spans="2:10">
      <c r="B12" s="35" t="s">
        <v>46</v>
      </c>
      <c r="C12" s="27">
        <v>120</v>
      </c>
      <c r="D12" s="27">
        <v>150</v>
      </c>
      <c r="E12" s="27">
        <v>130</v>
      </c>
      <c r="F12" s="27">
        <v>200</v>
      </c>
      <c r="G12" s="27">
        <v>150</v>
      </c>
      <c r="H12" s="28">
        <v>190</v>
      </c>
    </row>
    <row r="13" spans="2:10">
      <c r="B13" s="35" t="s">
        <v>47</v>
      </c>
      <c r="C13" s="27">
        <v>50</v>
      </c>
      <c r="D13" s="27">
        <v>60</v>
      </c>
      <c r="E13" s="27">
        <v>65</v>
      </c>
      <c r="F13" s="27">
        <v>70</v>
      </c>
      <c r="G13" s="27">
        <v>65</v>
      </c>
      <c r="H13" s="28">
        <v>85</v>
      </c>
    </row>
    <row r="14" spans="2:10">
      <c r="B14" s="35" t="s">
        <v>48</v>
      </c>
      <c r="C14" s="27">
        <v>145</v>
      </c>
      <c r="D14" s="27">
        <v>145</v>
      </c>
      <c r="E14" s="27">
        <v>145</v>
      </c>
      <c r="F14" s="27">
        <v>145</v>
      </c>
      <c r="G14" s="27">
        <v>100</v>
      </c>
      <c r="H14" s="28">
        <v>145</v>
      </c>
    </row>
    <row r="15" spans="2:10">
      <c r="B15" s="38" t="s">
        <v>49</v>
      </c>
      <c r="C15" s="27">
        <f>SUM(C7:C14)</f>
        <v>725</v>
      </c>
      <c r="D15" s="27">
        <f t="shared" ref="D15:H15" si="0">SUM(D7:D14)</f>
        <v>735</v>
      </c>
      <c r="E15" s="27">
        <f t="shared" si="0"/>
        <v>763</v>
      </c>
      <c r="F15" s="27">
        <f t="shared" si="0"/>
        <v>837</v>
      </c>
      <c r="G15" s="27">
        <f t="shared" si="0"/>
        <v>641</v>
      </c>
      <c r="H15" s="27">
        <f t="shared" si="0"/>
        <v>758</v>
      </c>
      <c r="J15" s="73"/>
    </row>
    <row r="16" spans="2:10">
      <c r="B16" s="39" t="s">
        <v>50</v>
      </c>
      <c r="C16" s="31" t="str">
        <f>IMSUB(C15,C5)</f>
        <v>225</v>
      </c>
      <c r="D16" s="31" t="str">
        <f t="shared" ref="D16:H16" si="1">IMSUB(D15,D5)</f>
        <v>-15</v>
      </c>
      <c r="E16" s="31" t="str">
        <f t="shared" si="1"/>
        <v>-37</v>
      </c>
      <c r="F16" s="31" t="str">
        <f t="shared" si="1"/>
        <v>137</v>
      </c>
      <c r="G16" s="31" t="str">
        <f t="shared" si="1"/>
        <v>-13</v>
      </c>
      <c r="H16" s="31" t="str">
        <f t="shared" si="1"/>
        <v>58</v>
      </c>
    </row>
    <row r="17" spans="2:2">
      <c r="B17" s="4"/>
    </row>
  </sheetData>
  <mergeCells count="1">
    <mergeCell ref="C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I5" sqref="I5"/>
    </sheetView>
  </sheetViews>
  <sheetFormatPr defaultRowHeight="15"/>
  <cols>
    <col min="2" max="2" width="5.7109375" customWidth="1"/>
    <col min="3" max="3" width="9.5703125" bestFit="1" customWidth="1"/>
    <col min="4" max="4" width="11.7109375" bestFit="1" customWidth="1"/>
    <col min="6" max="6" width="10.85546875" bestFit="1" customWidth="1"/>
    <col min="8" max="8" width="13.85546875" bestFit="1" customWidth="1"/>
    <col min="9" max="9" width="13.28515625" bestFit="1" customWidth="1"/>
  </cols>
  <sheetData>
    <row r="1" spans="2:9" ht="15.75" thickBot="1"/>
    <row r="2" spans="2:9">
      <c r="B2" s="59" t="s">
        <v>51</v>
      </c>
      <c r="C2" s="60"/>
      <c r="D2" s="60"/>
      <c r="E2" s="60"/>
      <c r="F2" s="60"/>
      <c r="G2" s="60"/>
      <c r="H2" s="60"/>
      <c r="I2" s="61"/>
    </row>
    <row r="3" spans="2:9" ht="15.75" thickBot="1">
      <c r="B3" s="62" t="s">
        <v>52</v>
      </c>
      <c r="C3" s="63"/>
      <c r="D3" s="63"/>
      <c r="E3" s="63"/>
      <c r="F3" s="63"/>
      <c r="G3" s="63"/>
      <c r="H3" s="63"/>
      <c r="I3" s="64"/>
    </row>
    <row r="4" spans="2:9" ht="15.75" thickBot="1">
      <c r="B4" s="41" t="s">
        <v>53</v>
      </c>
      <c r="C4" s="42" t="s">
        <v>54</v>
      </c>
      <c r="D4" s="43" t="s">
        <v>55</v>
      </c>
      <c r="E4" s="42" t="s">
        <v>56</v>
      </c>
      <c r="F4" s="43" t="s">
        <v>57</v>
      </c>
      <c r="G4" s="42" t="s">
        <v>58</v>
      </c>
      <c r="H4" s="44" t="s">
        <v>59</v>
      </c>
      <c r="I4" s="43" t="s">
        <v>60</v>
      </c>
    </row>
    <row r="5" spans="2:9" ht="15.75" thickBot="1">
      <c r="B5" s="10">
        <v>1</v>
      </c>
      <c r="C5" s="5" t="s">
        <v>61</v>
      </c>
      <c r="D5" s="8">
        <v>853</v>
      </c>
      <c r="E5" s="9">
        <v>0.1</v>
      </c>
      <c r="F5" s="9">
        <v>0.09</v>
      </c>
      <c r="G5" s="8">
        <f>D5*E5</f>
        <v>85.300000000000011</v>
      </c>
      <c r="H5" s="8">
        <f>D5*F5</f>
        <v>76.77</v>
      </c>
      <c r="I5" s="8">
        <f>D5-(G5+H5)</f>
        <v>690.93000000000006</v>
      </c>
    </row>
    <row r="6" spans="2:9" ht="14.25">
      <c r="B6" s="10">
        <v>2</v>
      </c>
      <c r="C6" s="5" t="s">
        <v>62</v>
      </c>
      <c r="D6" s="8">
        <v>951</v>
      </c>
      <c r="E6" s="9">
        <v>9.9900000000000003E-2</v>
      </c>
      <c r="F6" s="9">
        <v>0.08</v>
      </c>
      <c r="G6" s="8">
        <f t="shared" ref="G6:G12" si="0">D6*E6</f>
        <v>95.004900000000006</v>
      </c>
      <c r="H6" s="8">
        <f t="shared" ref="H6:H12" si="1">D6*F6</f>
        <v>76.08</v>
      </c>
      <c r="I6" s="8">
        <f t="shared" ref="I6:I12" si="2">D6-(G6+H6)</f>
        <v>779.91509999999994</v>
      </c>
    </row>
    <row r="7" spans="2:9" ht="14.25">
      <c r="B7" s="10">
        <v>3</v>
      </c>
      <c r="C7" s="5" t="s">
        <v>63</v>
      </c>
      <c r="D7" s="8">
        <v>456</v>
      </c>
      <c r="E7" s="9">
        <v>8.6400000000000005E-2</v>
      </c>
      <c r="F7" s="9">
        <v>0.06</v>
      </c>
      <c r="G7" s="8">
        <f t="shared" si="0"/>
        <v>39.398400000000002</v>
      </c>
      <c r="H7" s="8">
        <f t="shared" si="1"/>
        <v>27.36</v>
      </c>
      <c r="I7" s="8">
        <f t="shared" si="2"/>
        <v>389.24160000000001</v>
      </c>
    </row>
    <row r="8" spans="2:9" ht="14.25">
      <c r="B8" s="10">
        <v>4</v>
      </c>
      <c r="C8" s="5" t="s">
        <v>64</v>
      </c>
      <c r="D8" s="8">
        <v>500</v>
      </c>
      <c r="E8" s="9">
        <v>8.5000000000000006E-2</v>
      </c>
      <c r="F8" s="9">
        <v>0.06</v>
      </c>
      <c r="G8" s="8">
        <f t="shared" si="0"/>
        <v>42.5</v>
      </c>
      <c r="H8" s="8">
        <f t="shared" si="1"/>
        <v>30</v>
      </c>
      <c r="I8" s="8">
        <f t="shared" si="2"/>
        <v>427.5</v>
      </c>
    </row>
    <row r="9" spans="2:9" ht="14.25">
      <c r="B9" s="10">
        <v>5</v>
      </c>
      <c r="C9" s="5" t="s">
        <v>65</v>
      </c>
      <c r="D9" s="8">
        <v>850</v>
      </c>
      <c r="E9" s="9">
        <v>8.9899999999999994E-2</v>
      </c>
      <c r="F9" s="9">
        <v>7.0000000000000007E-2</v>
      </c>
      <c r="G9" s="8">
        <f t="shared" si="0"/>
        <v>76.414999999999992</v>
      </c>
      <c r="H9" s="8">
        <f t="shared" si="1"/>
        <v>59.500000000000007</v>
      </c>
      <c r="I9" s="8">
        <f t="shared" si="2"/>
        <v>714.08500000000004</v>
      </c>
    </row>
    <row r="10" spans="2:9" ht="14.25">
      <c r="B10" s="10">
        <v>6</v>
      </c>
      <c r="C10" s="6" t="s">
        <v>66</v>
      </c>
      <c r="D10" s="8">
        <v>459</v>
      </c>
      <c r="E10" s="9">
        <v>6.25E-2</v>
      </c>
      <c r="F10" s="9">
        <v>0.05</v>
      </c>
      <c r="G10" s="8">
        <f t="shared" si="0"/>
        <v>28.6875</v>
      </c>
      <c r="H10" s="8">
        <f t="shared" si="1"/>
        <v>22.950000000000003</v>
      </c>
      <c r="I10" s="8">
        <f t="shared" si="2"/>
        <v>407.36250000000001</v>
      </c>
    </row>
    <row r="11" spans="2:9" ht="14.25">
      <c r="B11" s="10">
        <v>7</v>
      </c>
      <c r="C11" s="5" t="s">
        <v>67</v>
      </c>
      <c r="D11" s="8">
        <v>478</v>
      </c>
      <c r="E11" s="9">
        <v>7.1199999999999999E-2</v>
      </c>
      <c r="F11" s="9">
        <v>0.05</v>
      </c>
      <c r="G11" s="8">
        <f t="shared" si="0"/>
        <v>34.0336</v>
      </c>
      <c r="H11" s="8">
        <f t="shared" si="1"/>
        <v>23.900000000000002</v>
      </c>
      <c r="I11" s="8">
        <f t="shared" si="2"/>
        <v>420.06639999999999</v>
      </c>
    </row>
    <row r="12" spans="2:9" ht="14.25">
      <c r="B12" s="10">
        <v>8</v>
      </c>
      <c r="C12" s="5" t="s">
        <v>68</v>
      </c>
      <c r="D12" s="8">
        <v>658</v>
      </c>
      <c r="E12" s="9">
        <v>5.9900000000000002E-2</v>
      </c>
      <c r="F12" s="9">
        <v>0.04</v>
      </c>
      <c r="G12" s="8">
        <f t="shared" si="0"/>
        <v>39.414200000000001</v>
      </c>
      <c r="H12" s="8">
        <f t="shared" si="1"/>
        <v>26.32</v>
      </c>
      <c r="I12" s="8">
        <f t="shared" si="2"/>
        <v>592.26580000000001</v>
      </c>
    </row>
  </sheetData>
  <mergeCells count="2">
    <mergeCell ref="B2:I2"/>
    <mergeCell ref="B3:I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6"/>
  <sheetViews>
    <sheetView tabSelected="1" workbookViewId="0">
      <selection activeCell="I13" sqref="I13"/>
    </sheetView>
  </sheetViews>
  <sheetFormatPr defaultRowHeight="15"/>
  <cols>
    <col min="2" max="2" width="16.140625" bestFit="1" customWidth="1"/>
    <col min="3" max="3" width="12.140625" customWidth="1"/>
    <col min="4" max="4" width="12.5703125" customWidth="1"/>
    <col min="5" max="5" width="13.140625" customWidth="1"/>
    <col min="6" max="6" width="13.85546875" customWidth="1"/>
    <col min="7" max="7" width="15.42578125" customWidth="1"/>
  </cols>
  <sheetData>
    <row r="1" spans="2:9" ht="15.75" thickBot="1"/>
    <row r="2" spans="2:9" ht="25.5" customHeight="1" thickBot="1">
      <c r="B2" s="68" t="s">
        <v>69</v>
      </c>
      <c r="C2" s="69"/>
      <c r="D2" s="69"/>
      <c r="E2" s="69"/>
      <c r="F2" s="69"/>
      <c r="G2" s="70"/>
    </row>
    <row r="3" spans="2:9" ht="15.75" thickBot="1">
      <c r="B3" s="47" t="s">
        <v>70</v>
      </c>
      <c r="C3" s="46" t="s">
        <v>71</v>
      </c>
      <c r="D3" s="46" t="s">
        <v>72</v>
      </c>
      <c r="E3" s="46" t="s">
        <v>73</v>
      </c>
      <c r="F3" s="46" t="s">
        <v>74</v>
      </c>
      <c r="G3" s="48" t="s">
        <v>75</v>
      </c>
    </row>
    <row r="4" spans="2:9" ht="15.75" thickBot="1">
      <c r="B4" s="45"/>
      <c r="C4" s="11">
        <v>140000</v>
      </c>
      <c r="D4" s="11">
        <v>185000</v>
      </c>
      <c r="E4" s="11">
        <v>204100</v>
      </c>
      <c r="F4" s="11">
        <v>240000</v>
      </c>
      <c r="G4" s="11">
        <f>SUM(C4:F4)</f>
        <v>769100</v>
      </c>
    </row>
    <row r="5" spans="2:9" ht="15.75" thickBot="1">
      <c r="B5" s="12"/>
      <c r="C5" s="12"/>
      <c r="D5" s="12"/>
      <c r="E5" s="12"/>
      <c r="F5" s="12"/>
      <c r="G5" s="12"/>
    </row>
    <row r="6" spans="2:9" ht="15.75" thickBot="1">
      <c r="B6" s="50" t="s">
        <v>76</v>
      </c>
      <c r="C6" s="49" t="s">
        <v>71</v>
      </c>
      <c r="D6" s="49" t="s">
        <v>72</v>
      </c>
      <c r="E6" s="49" t="s">
        <v>73</v>
      </c>
      <c r="F6" s="49" t="s">
        <v>74</v>
      </c>
      <c r="G6" s="52" t="s">
        <v>75</v>
      </c>
    </row>
    <row r="7" spans="2:9" ht="14.25">
      <c r="B7" s="14" t="s">
        <v>77</v>
      </c>
      <c r="C7" s="11">
        <v>20000</v>
      </c>
      <c r="D7" s="11">
        <v>26000</v>
      </c>
      <c r="E7" s="11">
        <v>33800</v>
      </c>
      <c r="F7" s="11">
        <v>43940</v>
      </c>
      <c r="G7" s="11">
        <f t="shared" ref="G7:G12" si="0">SUM(C7:F7)</f>
        <v>123740</v>
      </c>
    </row>
    <row r="8" spans="2:9" ht="14.25">
      <c r="B8" s="14" t="s">
        <v>78</v>
      </c>
      <c r="C8" s="11">
        <v>20000</v>
      </c>
      <c r="D8" s="11">
        <v>15600</v>
      </c>
      <c r="E8" s="11">
        <v>20280</v>
      </c>
      <c r="F8" s="11">
        <v>26364</v>
      </c>
      <c r="G8" s="11">
        <f t="shared" si="0"/>
        <v>82244</v>
      </c>
    </row>
    <row r="9" spans="2:9" ht="14.25">
      <c r="B9" s="14" t="s">
        <v>79</v>
      </c>
      <c r="C9" s="11">
        <v>12000</v>
      </c>
      <c r="D9" s="11">
        <v>20930</v>
      </c>
      <c r="E9" s="11">
        <v>27209</v>
      </c>
      <c r="F9" s="11">
        <v>35371.699999999997</v>
      </c>
      <c r="G9" s="11">
        <f t="shared" si="0"/>
        <v>95510.7</v>
      </c>
    </row>
    <row r="10" spans="2:9" ht="14.25">
      <c r="B10" s="14" t="s">
        <v>80</v>
      </c>
      <c r="C10" s="11">
        <v>16100</v>
      </c>
      <c r="D10" s="11">
        <v>28870</v>
      </c>
      <c r="E10" s="11">
        <v>33631</v>
      </c>
      <c r="F10" s="11">
        <v>43720.3</v>
      </c>
      <c r="G10" s="11">
        <f t="shared" si="0"/>
        <v>122321.3</v>
      </c>
    </row>
    <row r="11" spans="2:9" ht="14.25">
      <c r="B11" s="14" t="s">
        <v>81</v>
      </c>
      <c r="C11" s="11">
        <v>19900</v>
      </c>
      <c r="D11" s="11">
        <v>39000</v>
      </c>
      <c r="E11" s="11">
        <v>50700</v>
      </c>
      <c r="F11" s="11">
        <v>65910</v>
      </c>
      <c r="G11" s="11">
        <f t="shared" si="0"/>
        <v>175510</v>
      </c>
    </row>
    <row r="12" spans="2:9" ht="14.25">
      <c r="B12" s="14" t="s">
        <v>82</v>
      </c>
      <c r="C12" s="11">
        <v>25000</v>
      </c>
      <c r="D12" s="11">
        <v>32500</v>
      </c>
      <c r="E12" s="11">
        <v>42250</v>
      </c>
      <c r="F12" s="11">
        <v>54925</v>
      </c>
      <c r="G12" s="11">
        <f t="shared" si="0"/>
        <v>154675</v>
      </c>
    </row>
    <row r="13" spans="2:9" ht="14.25">
      <c r="B13" s="51" t="s">
        <v>83</v>
      </c>
      <c r="C13" s="11">
        <f>SUM(C7:C12)</f>
        <v>113000</v>
      </c>
      <c r="D13" s="11">
        <f t="shared" ref="D13:F13" si="1">SUM(D7:D12)</f>
        <v>162900</v>
      </c>
      <c r="E13" s="11">
        <f t="shared" si="1"/>
        <v>207870</v>
      </c>
      <c r="F13" s="11">
        <f t="shared" si="1"/>
        <v>270231</v>
      </c>
      <c r="G13" s="13"/>
      <c r="I13" s="75"/>
    </row>
    <row r="14" spans="2:9" ht="14.25">
      <c r="B14" s="51" t="s">
        <v>84</v>
      </c>
      <c r="C14" s="11">
        <f>$G4-C13</f>
        <v>656100</v>
      </c>
      <c r="D14" s="11">
        <f t="shared" ref="D14:F14" si="2">$G4-D13</f>
        <v>606200</v>
      </c>
      <c r="E14" s="11">
        <f t="shared" si="2"/>
        <v>561230</v>
      </c>
      <c r="F14" s="11">
        <f t="shared" si="2"/>
        <v>498869</v>
      </c>
      <c r="G14" s="13"/>
    </row>
    <row r="15" spans="2:9" ht="15.75" customHeight="1" thickBot="1">
      <c r="B15" s="12"/>
      <c r="C15" s="12"/>
      <c r="D15" s="65" t="s">
        <v>85</v>
      </c>
      <c r="E15" s="66"/>
      <c r="F15" s="67"/>
      <c r="G15" s="74">
        <f>SUM(C13:F13)</f>
        <v>754001</v>
      </c>
    </row>
    <row r="16" spans="2:9">
      <c r="H16" s="73"/>
    </row>
  </sheetData>
  <mergeCells count="2">
    <mergeCell ref="D15:F15"/>
    <mergeCell ref="B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Grizli777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Andreia</dc:creator>
  <cp:keywords/>
  <dc:description/>
  <cp:lastModifiedBy/>
  <cp:revision/>
  <dcterms:created xsi:type="dcterms:W3CDTF">2016-06-06T23:45:11Z</dcterms:created>
  <dcterms:modified xsi:type="dcterms:W3CDTF">2026-03-21T02:04:58Z</dcterms:modified>
  <cp:category/>
  <cp:contentStatus/>
</cp:coreProperties>
</file>