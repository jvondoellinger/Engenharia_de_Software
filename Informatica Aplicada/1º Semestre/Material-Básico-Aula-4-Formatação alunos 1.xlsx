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D:\INFORMÁTICA APLICADA\2026\Aula 4\"/>
    </mc:Choice>
  </mc:AlternateContent>
  <xr:revisionPtr revIDLastSave="0" documentId="8_{94810749-B87B-4A95-80E2-65BD93504BB2}" xr6:coauthVersionLast="47" xr6:coauthVersionMax="47" xr10:uidLastSave="{00000000-0000-0000-0000-000000000000}"/>
  <bookViews>
    <workbookView xWindow="-120" yWindow="-120" windowWidth="20730" windowHeight="11040" tabRatio="815" activeTab="4" xr2:uid="{00000000-000D-0000-FFFF-FFFF00000000}"/>
  </bookViews>
  <sheets>
    <sheet name="Exercício 1" sheetId="2" r:id="rId1"/>
    <sheet name="Exercício 2" sheetId="1" r:id="rId2"/>
    <sheet name="Exercício 3" sheetId="3" r:id="rId3"/>
    <sheet name="Exercício 4" sheetId="4" r:id="rId4"/>
    <sheet name="Exercício 5" sheetId="5" r:id="rId5"/>
    <sheet name="Exercício 6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4" i="4"/>
  <c r="F9" i="3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C12" i="2"/>
  <c r="E18" i="12"/>
  <c r="E19" i="12"/>
  <c r="E17" i="12"/>
  <c r="E16" i="12"/>
  <c r="E15" i="12"/>
  <c r="E14" i="12"/>
  <c r="E9" i="12"/>
  <c r="E8" i="12"/>
  <c r="E7" i="12"/>
  <c r="E6" i="12"/>
  <c r="E5" i="12"/>
  <c r="E4" i="12"/>
  <c r="D9" i="5"/>
  <c r="C9" i="5"/>
  <c r="E9" i="5"/>
  <c r="B9" i="5"/>
  <c r="F8" i="5"/>
  <c r="F7" i="5"/>
  <c r="F6" i="5"/>
  <c r="F5" i="5"/>
  <c r="F4" i="5"/>
  <c r="F3" i="5"/>
  <c r="F2" i="5"/>
  <c r="F5" i="4"/>
  <c r="E8" i="4"/>
  <c r="D8" i="4"/>
  <c r="C8" i="4"/>
  <c r="F8" i="3"/>
  <c r="F7" i="3"/>
  <c r="F6" i="3"/>
  <c r="F5" i="3"/>
  <c r="F4" i="3"/>
  <c r="F3" i="3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<sst xmlns="http://schemas.openxmlformats.org/spreadsheetml/2006/main" count="100" uniqueCount="81">
  <si>
    <t>Papelaria</t>
  </si>
  <si>
    <t>Vendas do mês de Fevereiro 2011</t>
  </si>
  <si>
    <t>Nome</t>
  </si>
  <si>
    <t>Quantidade vendida</t>
  </si>
  <si>
    <t>Preço Base</t>
  </si>
  <si>
    <t>Desconto</t>
  </si>
  <si>
    <t>I.V.A</t>
  </si>
  <si>
    <t>Valor Final</t>
  </si>
  <si>
    <t>Vendas do Mês</t>
  </si>
  <si>
    <t>Dossier A4 basic</t>
  </si>
  <si>
    <t>Caderno A4 basic</t>
  </si>
  <si>
    <t>Esquadro 30 cm</t>
  </si>
  <si>
    <t>régua 50 cm</t>
  </si>
  <si>
    <t xml:space="preserve"> </t>
  </si>
  <si>
    <t>papel lustro rosa</t>
  </si>
  <si>
    <t>papel colorido 250 flts</t>
  </si>
  <si>
    <t>cartolina 10 unidades</t>
  </si>
  <si>
    <t>Total</t>
  </si>
  <si>
    <t>TAXA IVA</t>
  </si>
  <si>
    <t>FEIRA DO MÊS</t>
  </si>
  <si>
    <t>PRODUTO</t>
  </si>
  <si>
    <t>QUANTIDADE</t>
  </si>
  <si>
    <t>PREÇO</t>
  </si>
  <si>
    <t>TOTAL PAGO</t>
  </si>
  <si>
    <t>Arroz</t>
  </si>
  <si>
    <t>Feijão</t>
  </si>
  <si>
    <t>Açúcar</t>
  </si>
  <si>
    <t>Farinha</t>
  </si>
  <si>
    <t>Café</t>
  </si>
  <si>
    <t>Leite</t>
  </si>
  <si>
    <t>Queijo</t>
  </si>
  <si>
    <t>Carne</t>
  </si>
  <si>
    <t>Macarrão</t>
  </si>
  <si>
    <t>Empresas de Chás e Cafés</t>
  </si>
  <si>
    <t>Tipo de Café</t>
  </si>
  <si>
    <t>Vendas 1º mês (kg)</t>
  </si>
  <si>
    <t>Vendas 2º mês (kg)</t>
  </si>
  <si>
    <t>Vendas 3º mês (kg)</t>
  </si>
  <si>
    <t>Preço por Kilo</t>
  </si>
  <si>
    <t>Receita Total</t>
  </si>
  <si>
    <t>Bourdom</t>
  </si>
  <si>
    <t>Equador</t>
  </si>
  <si>
    <t>Colombia</t>
  </si>
  <si>
    <t>Arábico</t>
  </si>
  <si>
    <t>Mussula</t>
  </si>
  <si>
    <t>Manaus</t>
  </si>
  <si>
    <t>Disciplina</t>
  </si>
  <si>
    <t>Cálculo</t>
  </si>
  <si>
    <t>Economia</t>
  </si>
  <si>
    <t>TCC</t>
  </si>
  <si>
    <t>Média Aluno</t>
  </si>
  <si>
    <t xml:space="preserve">Matrícula </t>
  </si>
  <si>
    <t>Média da Disciplina</t>
  </si>
  <si>
    <t>Aparelhos</t>
  </si>
  <si>
    <t>1ª Semana</t>
  </si>
  <si>
    <t>2ª Semana</t>
  </si>
  <si>
    <t>3ª Semana</t>
  </si>
  <si>
    <t>4ª Semana</t>
  </si>
  <si>
    <t>Frigoríficos</t>
  </si>
  <si>
    <t>Televisores</t>
  </si>
  <si>
    <t>Aparelhagens</t>
  </si>
  <si>
    <t>Vídeos</t>
  </si>
  <si>
    <t>Misturadores</t>
  </si>
  <si>
    <t>Trobots de Cozinha</t>
  </si>
  <si>
    <t>Máquina se Sumo</t>
  </si>
  <si>
    <t>// OBS: NÃO FOI-SE ESPECIFICADO SOBRE OS VALORES MENORES OU MAIORES, POR ISSO HÁ CELULAS EM LARANJA!</t>
  </si>
  <si>
    <t>ORIGINAL</t>
  </si>
  <si>
    <t>Lista de Compra</t>
  </si>
  <si>
    <t>Coluna1</t>
  </si>
  <si>
    <t>Coluna2</t>
  </si>
  <si>
    <t>Coluna3</t>
  </si>
  <si>
    <t>Produto</t>
  </si>
  <si>
    <t>Quantidade</t>
  </si>
  <si>
    <t>Valor Unitário</t>
  </si>
  <si>
    <t>Sabão em pó</t>
  </si>
  <si>
    <t>Melão</t>
  </si>
  <si>
    <t>Arroz(2kg)</t>
  </si>
  <si>
    <t>Leite(litro)</t>
  </si>
  <si>
    <t>Presunto(kg)</t>
  </si>
  <si>
    <t>Queijo(kg)</t>
  </si>
  <si>
    <t>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</si>
</sst>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€-407]"/>
    <numFmt numFmtId="165" formatCode="&quot;R$&quot;\ #,##0.00"/>
    <numFmt numFmtId="166" formatCode="0.0"/>
    <numFmt numFmtId="168" formatCode="0.000"/>
    <numFmt numFmtId="172" formatCode="#,##0.00\ [$€-1]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omic Sans MS"/>
      <family val="4"/>
    </font>
    <font>
      <sz val="12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2" tint="-0.249977111117893"/>
      <name val="Arial"/>
      <family val="2"/>
    </font>
    <font>
      <sz val="11"/>
      <color rgb="FFC00000"/>
      <name val="Calibri"/>
      <scheme val="minor"/>
    </font>
    <font>
      <sz val="11"/>
      <color rgb="FFC00000"/>
      <name val="Calibri"/>
      <family val="2"/>
      <scheme val="minor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u/>
      <sz val="12"/>
      <color theme="9"/>
      <name val="Arial"/>
      <family val="2"/>
    </font>
    <font>
      <u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BFC0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" fontId="3" fillId="0" borderId="0" xfId="0" applyNumberFormat="1" applyFont="1"/>
    <xf numFmtId="0" fontId="4" fillId="0" borderId="0" xfId="0" applyFont="1"/>
    <xf numFmtId="0" fontId="3" fillId="2" borderId="8" xfId="0" applyFont="1" applyFill="1" applyBorder="1" applyAlignment="1">
      <alignment horizontal="center"/>
    </xf>
    <xf numFmtId="0" fontId="6" fillId="0" borderId="0" xfId="0" applyFont="1"/>
    <xf numFmtId="0" fontId="0" fillId="0" borderId="0" xfId="0" applyFont="1"/>
    <xf numFmtId="4" fontId="3" fillId="0" borderId="0" xfId="0" applyNumberFormat="1" applyFont="1" applyFill="1"/>
    <xf numFmtId="0" fontId="3" fillId="0" borderId="0" xfId="0" applyFont="1" applyFill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165" fontId="2" fillId="0" borderId="8" xfId="0" applyNumberFormat="1" applyFont="1" applyBorder="1"/>
    <xf numFmtId="165" fontId="1" fillId="0" borderId="8" xfId="0" applyNumberFormat="1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165" fontId="0" fillId="0" borderId="8" xfId="0" applyNumberFormat="1" applyBorder="1"/>
    <xf numFmtId="0" fontId="0" fillId="0" borderId="8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8" fillId="3" borderId="28" xfId="0" applyFont="1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165" fontId="0" fillId="0" borderId="10" xfId="0" applyNumberFormat="1" applyBorder="1"/>
    <xf numFmtId="165" fontId="0" fillId="0" borderId="15" xfId="0" applyNumberFormat="1" applyBorder="1"/>
    <xf numFmtId="0" fontId="0" fillId="0" borderId="22" xfId="0" applyBorder="1"/>
    <xf numFmtId="0" fontId="0" fillId="0" borderId="23" xfId="0" applyBorder="1"/>
    <xf numFmtId="0" fontId="0" fillId="0" borderId="31" xfId="0" applyBorder="1"/>
    <xf numFmtId="165" fontId="6" fillId="0" borderId="15" xfId="0" applyNumberFormat="1" applyFont="1" applyBorder="1"/>
    <xf numFmtId="2" fontId="0" fillId="0" borderId="8" xfId="0" applyNumberFormat="1" applyBorder="1"/>
    <xf numFmtId="168" fontId="0" fillId="0" borderId="8" xfId="0" applyNumberFormat="1" applyBorder="1"/>
    <xf numFmtId="166" fontId="0" fillId="0" borderId="8" xfId="0" applyNumberFormat="1" applyBorder="1"/>
    <xf numFmtId="168" fontId="0" fillId="0" borderId="10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4" fontId="3" fillId="6" borderId="9" xfId="0" applyNumberFormat="1" applyFont="1" applyFill="1" applyBorder="1" applyAlignment="1">
      <alignment vertical="center"/>
    </xf>
    <xf numFmtId="4" fontId="3" fillId="6" borderId="9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10" xfId="0" applyFont="1" applyFill="1" applyBorder="1" applyAlignment="1">
      <alignment horizontal="center"/>
    </xf>
    <xf numFmtId="172" fontId="14" fillId="2" borderId="8" xfId="0" applyNumberFormat="1" applyFont="1" applyFill="1" applyBorder="1"/>
    <xf numFmtId="172" fontId="15" fillId="2" borderId="8" xfId="0" applyNumberFormat="1" applyFont="1" applyFill="1" applyBorder="1"/>
    <xf numFmtId="172" fontId="14" fillId="2" borderId="10" xfId="0" applyNumberFormat="1" applyFont="1" applyFill="1" applyBorder="1"/>
    <xf numFmtId="172" fontId="15" fillId="2" borderId="10" xfId="0" applyNumberFormat="1" applyFont="1" applyFill="1" applyBorder="1"/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6" borderId="29" xfId="0" applyFont="1" applyFill="1" applyBorder="1" applyAlignment="1">
      <alignment horizontal="center" vertical="center"/>
    </xf>
    <xf numFmtId="4" fontId="3" fillId="6" borderId="30" xfId="0" applyNumberFormat="1" applyFont="1" applyFill="1" applyBorder="1" applyAlignment="1">
      <alignment horizontal="center" vertical="center"/>
    </xf>
    <xf numFmtId="0" fontId="3" fillId="2" borderId="22" xfId="0" applyFont="1" applyFill="1" applyBorder="1"/>
    <xf numFmtId="172" fontId="15" fillId="2" borderId="23" xfId="0" applyNumberFormat="1" applyFont="1" applyFill="1" applyBorder="1"/>
    <xf numFmtId="0" fontId="3" fillId="2" borderId="32" xfId="0" applyFont="1" applyFill="1" applyBorder="1"/>
    <xf numFmtId="172" fontId="15" fillId="2" borderId="32" xfId="0" applyNumberFormat="1" applyFont="1" applyFill="1" applyBorder="1"/>
    <xf numFmtId="172" fontId="15" fillId="2" borderId="33" xfId="0" applyNumberFormat="1" applyFont="1" applyFill="1" applyBorder="1"/>
    <xf numFmtId="0" fontId="3" fillId="6" borderId="26" xfId="0" applyFont="1" applyFill="1" applyBorder="1" applyAlignment="1">
      <alignment horizontal="right"/>
    </xf>
    <xf numFmtId="0" fontId="3" fillId="2" borderId="28" xfId="0" applyFont="1" applyFill="1" applyBorder="1" applyAlignment="1">
      <alignment horizontal="center"/>
    </xf>
    <xf numFmtId="0" fontId="3" fillId="2" borderId="24" xfId="0" applyFont="1" applyFill="1" applyBorder="1"/>
    <xf numFmtId="4" fontId="11" fillId="5" borderId="19" xfId="0" applyNumberFormat="1" applyFont="1" applyFill="1" applyBorder="1"/>
    <xf numFmtId="4" fontId="11" fillId="5" borderId="21" xfId="0" applyNumberFormat="1" applyFont="1" applyFill="1" applyBorder="1"/>
    <xf numFmtId="9" fontId="3" fillId="0" borderId="31" xfId="0" applyNumberFormat="1" applyFont="1" applyBorder="1"/>
    <xf numFmtId="9" fontId="3" fillId="0" borderId="33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34" xfId="0" applyFont="1" applyBorder="1"/>
    <xf numFmtId="0" fontId="1" fillId="0" borderId="34" xfId="0" applyFont="1" applyBorder="1" applyAlignment="1">
      <alignment horizontal="center"/>
    </xf>
    <xf numFmtId="165" fontId="1" fillId="0" borderId="34" xfId="0" applyNumberFormat="1" applyFont="1" applyBorder="1"/>
    <xf numFmtId="165" fontId="2" fillId="0" borderId="34" xfId="0" applyNumberFormat="1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165" fontId="1" fillId="0" borderId="10" xfId="0" applyNumberFormat="1" applyFont="1" applyBorder="1"/>
    <xf numFmtId="165" fontId="2" fillId="0" borderId="10" xfId="0" applyNumberFormat="1" applyFont="1" applyBorder="1"/>
    <xf numFmtId="0" fontId="1" fillId="0" borderId="9" xfId="0" applyFont="1" applyBorder="1"/>
    <xf numFmtId="165" fontId="1" fillId="0" borderId="9" xfId="0" applyNumberFormat="1" applyFont="1" applyBorder="1"/>
    <xf numFmtId="165" fontId="2" fillId="0" borderId="9" xfId="0" applyNumberFormat="1" applyFont="1" applyBorder="1"/>
    <xf numFmtId="0" fontId="1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7" xfId="0" applyBorder="1"/>
    <xf numFmtId="0" fontId="1" fillId="0" borderId="35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5" fontId="0" fillId="0" borderId="23" xfId="0" applyNumberFormat="1" applyBorder="1"/>
    <xf numFmtId="0" fontId="0" fillId="0" borderId="32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25" xfId="0" applyNumberFormat="1" applyBorder="1"/>
    <xf numFmtId="165" fontId="0" fillId="0" borderId="7" xfId="0" applyNumberFormat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37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theme="5"/>
      </font>
      <fill>
        <patternFill patternType="solid">
          <bgColor theme="5" tint="0.79998168889431442"/>
        </patternFill>
      </fill>
    </dxf>
    <dxf>
      <font>
        <b/>
        <i val="0"/>
        <color theme="8"/>
      </font>
      <fill>
        <patternFill patternType="solid">
          <bgColor theme="4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theme="8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family val="2"/>
        <scheme val="none"/>
      </font>
      <numFmt numFmtId="172" formatCode="#,##0.00\ [$€-1]"/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family val="2"/>
        <scheme val="none"/>
      </font>
      <numFmt numFmtId="172" formatCode="#,##0.00\ [$€-1]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family val="2"/>
        <scheme val="none"/>
      </font>
      <numFmt numFmtId="172" formatCode="#,##0.00\ [$€-1]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9"/>
        <name val="Arial"/>
        <family val="2"/>
        <scheme val="none"/>
      </font>
      <numFmt numFmtId="172" formatCode="#,##0.00\ [$€-1]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rgb="FFFFBFC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</dxf>
  </dxfs>
  <tableStyles count="0" defaultTableStyle="TableStyleMedium2" defaultPivotStyle="PivotStyleLight16"/>
  <colors>
    <mruColors>
      <color rgb="FFFFB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BA694E-6196-46B9-A8E7-51F1ED431F96}" name="Tabela4" displayName="Tabela4" ref="B4:H11" totalsRowShown="0" headerRowDxfId="35" dataDxfId="34" headerRowBorderDxfId="32" tableBorderDxfId="33" totalsRowBorderDxfId="31">
  <autoFilter ref="B4:H11" xr:uid="{E1BA694E-6196-46B9-A8E7-51F1ED431F96}"/>
  <tableColumns count="7">
    <tableColumn id="1" xr3:uid="{4EC7BB37-EDCA-4335-9CAE-C903D4A6619E}" name="Nome" dataDxfId="30"/>
    <tableColumn id="2" xr3:uid="{689110D5-0036-4BB9-B00E-C3568BA9AC56}" name="Quantidade vendida" dataDxfId="29"/>
    <tableColumn id="3" xr3:uid="{37D6D552-3453-41F6-AD6E-07CB8C5B694F}" name="Preço Base" dataDxfId="28"/>
    <tableColumn id="4" xr3:uid="{A36A63D7-7D9E-43C9-99B6-14A362566828}" name="Desconto" dataDxfId="27"/>
    <tableColumn id="5" xr3:uid="{04BF5FF6-C555-4D35-AAB6-237CA82A51AE}" name="I.V.A" dataDxfId="26">
      <calculatedColumnFormula>D5*F$13</calculatedColumnFormula>
    </tableColumn>
    <tableColumn id="6" xr3:uid="{27EFD3DF-E0E3-40CE-BF7C-A9DBF479FD1B}" name="Valor Final" dataDxfId="25">
      <calculatedColumnFormula>Tabela4[[#This Row],[Preço Base]]-Tabela4[[#This Row],[Desconto]]+Tabela4[[#This Row],[I.V.A]]</calculatedColumnFormula>
    </tableColumn>
    <tableColumn id="7" xr3:uid="{CEEDBFF9-3926-4D01-990D-9C3591B42F0C}" name="Vendas do Mês" dataDxfId="24">
      <calculatedColumnFormula>Tabela4[[#This Row],[Valor Final]]*Tabela4[[#This Row],[Quantidade vendida]]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4CF265-E543-4EE0-8E37-56749C8CD5AB}" name="Tabela6" displayName="Tabela6" ref="B2:E9" totalsRowShown="0" headerRowDxfId="15" headerRowBorderDxfId="13" tableBorderDxfId="14" totalsRowBorderDxfId="12">
  <autoFilter ref="B2:E9" xr:uid="{1E4CF265-E543-4EE0-8E37-56749C8CD5AB}"/>
  <tableColumns count="4">
    <tableColumn id="1" xr3:uid="{BD262EA6-8F91-4551-8710-47E9441FABAD}" name="Lista de Compra" dataDxfId="11"/>
    <tableColumn id="2" xr3:uid="{88778503-9CDE-458D-BCE3-0D388B9B89F9}" name="Coluna1" dataDxfId="10"/>
    <tableColumn id="3" xr3:uid="{C75D7532-B056-4C14-850E-28D145AC0850}" name="Coluna2" dataDxfId="9"/>
    <tableColumn id="4" xr3:uid="{0A415885-B57C-4DA6-A446-BF97892B236E}" name="Coluna3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AF5E04-49DE-4656-B9D1-896C8B1290A0}" name="Tabela68" displayName="Tabela68" ref="B12:E19" totalsRowShown="0" headerRowDxfId="7" headerRowBorderDxfId="5" tableBorderDxfId="6" totalsRowBorderDxfId="4">
  <autoFilter ref="B12:E19" xr:uid="{09AF5E04-49DE-4656-B9D1-896C8B1290A0}"/>
  <tableColumns count="4">
    <tableColumn id="1" xr3:uid="{0856C522-84E2-4C7C-9070-33C5A967130D}" name="Lista de Compra" dataDxfId="3"/>
    <tableColumn id="2" xr3:uid="{FC2B245B-3F74-42AB-AFB2-EA88AFA01574}" name="Coluna1" dataDxfId="2"/>
    <tableColumn id="3" xr3:uid="{12BD66FD-7633-4314-99CB-CD5F26B78CE6}" name="Coluna2" dataDxfId="1"/>
    <tableColumn id="4" xr3:uid="{5D15277B-273F-4D70-99A7-175311CB2415}" name="Coluna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workbookViewId="0">
      <selection activeCell="K15" sqref="K15"/>
    </sheetView>
  </sheetViews>
  <sheetFormatPr defaultRowHeight="15"/>
  <cols>
    <col min="2" max="2" width="23.42578125" bestFit="1" customWidth="1"/>
    <col min="3" max="3" width="25.28515625" bestFit="1" customWidth="1"/>
    <col min="4" max="4" width="15.85546875" bestFit="1" customWidth="1"/>
    <col min="5" max="5" width="17.42578125" customWidth="1"/>
    <col min="6" max="6" width="11.42578125" bestFit="1" customWidth="1"/>
    <col min="7" max="7" width="15.140625" bestFit="1" customWidth="1"/>
    <col min="8" max="8" width="20" bestFit="1" customWidth="1"/>
  </cols>
  <sheetData>
    <row r="2" spans="2:10" ht="25.5" customHeight="1">
      <c r="B2" s="67" t="s">
        <v>0</v>
      </c>
      <c r="C2" s="68"/>
      <c r="D2" s="68"/>
      <c r="E2" s="68"/>
      <c r="F2" s="68"/>
      <c r="G2" s="68"/>
      <c r="H2" s="69"/>
    </row>
    <row r="3" spans="2:10" ht="18">
      <c r="B3" s="70" t="s">
        <v>1</v>
      </c>
      <c r="C3" s="71"/>
      <c r="D3" s="71"/>
      <c r="E3" s="71"/>
      <c r="F3" s="71"/>
      <c r="G3" s="71"/>
      <c r="H3" s="72"/>
    </row>
    <row r="4" spans="2:10" ht="28.5" customHeight="1">
      <c r="B4" s="73" t="s">
        <v>2</v>
      </c>
      <c r="C4" s="58" t="s">
        <v>3</v>
      </c>
      <c r="D4" s="58" t="s">
        <v>4</v>
      </c>
      <c r="E4" s="59" t="s">
        <v>5</v>
      </c>
      <c r="F4" s="60" t="s">
        <v>6</v>
      </c>
      <c r="G4" s="60" t="s">
        <v>7</v>
      </c>
      <c r="H4" s="74" t="s">
        <v>8</v>
      </c>
    </row>
    <row r="5" spans="2:10" ht="15.75">
      <c r="B5" s="75" t="s">
        <v>9</v>
      </c>
      <c r="C5" s="5">
        <v>120</v>
      </c>
      <c r="D5" s="61">
        <v>3.5</v>
      </c>
      <c r="E5" s="63">
        <f>D5*$E13</f>
        <v>0.17500000000000002</v>
      </c>
      <c r="F5" s="64">
        <f t="shared" ref="F5:F11" si="0">D5*F$13</f>
        <v>0.80500000000000005</v>
      </c>
      <c r="G5" s="64">
        <f>Tabela4[[#This Row],[Preço Base]]-Tabela4[[#This Row],[Desconto]]+Tabela4[[#This Row],[I.V.A]]</f>
        <v>4.13</v>
      </c>
      <c r="H5" s="76">
        <f>Tabela4[[#This Row],[Valor Final]]*Tabela4[[#This Row],[Quantidade vendida]]</f>
        <v>495.59999999999997</v>
      </c>
    </row>
    <row r="6" spans="2:10" ht="15.75">
      <c r="B6" s="75" t="s">
        <v>10</v>
      </c>
      <c r="C6" s="5">
        <v>221</v>
      </c>
      <c r="D6" s="61">
        <v>2</v>
      </c>
      <c r="E6" s="63">
        <f>Tabela4[[#This Row],[Preço Base]]*E$13</f>
        <v>0.1</v>
      </c>
      <c r="F6" s="64">
        <f t="shared" si="0"/>
        <v>0.46</v>
      </c>
      <c r="G6" s="64">
        <f>Tabela4[[#This Row],[Preço Base]]-Tabela4[[#This Row],[Desconto]]+Tabela4[[#This Row],[I.V.A]]</f>
        <v>2.36</v>
      </c>
      <c r="H6" s="76">
        <f>Tabela4[[#This Row],[Valor Final]]*Tabela4[[#This Row],[Quantidade vendida]]</f>
        <v>521.55999999999995</v>
      </c>
    </row>
    <row r="7" spans="2:10" ht="15.75">
      <c r="B7" s="75" t="s">
        <v>11</v>
      </c>
      <c r="C7" s="5">
        <v>5</v>
      </c>
      <c r="D7" s="61">
        <v>0.5</v>
      </c>
      <c r="E7" s="63">
        <f>Tabela4[[#This Row],[Preço Base]]*E$13</f>
        <v>2.5000000000000001E-2</v>
      </c>
      <c r="F7" s="64">
        <f t="shared" si="0"/>
        <v>0.115</v>
      </c>
      <c r="G7" s="64">
        <f>Tabela4[[#This Row],[Preço Base]]-Tabela4[[#This Row],[Desconto]]+Tabela4[[#This Row],[I.V.A]]</f>
        <v>0.59</v>
      </c>
      <c r="H7" s="76">
        <f>Tabela4[[#This Row],[Valor Final]]*Tabela4[[#This Row],[Quantidade vendida]]</f>
        <v>2.9499999999999997</v>
      </c>
    </row>
    <row r="8" spans="2:10" ht="15.75">
      <c r="B8" s="75" t="s">
        <v>12</v>
      </c>
      <c r="C8" s="5">
        <v>15</v>
      </c>
      <c r="D8" s="61">
        <v>0.75</v>
      </c>
      <c r="E8" s="63">
        <f>Tabela4[[#This Row],[Preço Base]]*E$13</f>
        <v>3.7500000000000006E-2</v>
      </c>
      <c r="F8" s="64">
        <f t="shared" si="0"/>
        <v>0.17250000000000001</v>
      </c>
      <c r="G8" s="64">
        <f>Tabela4[[#This Row],[Preço Base]]-Tabela4[[#This Row],[Desconto]]+Tabela4[[#This Row],[I.V.A]]</f>
        <v>0.88500000000000001</v>
      </c>
      <c r="H8" s="76">
        <f>Tabela4[[#This Row],[Valor Final]]*Tabela4[[#This Row],[Quantidade vendida]]</f>
        <v>13.275</v>
      </c>
      <c r="J8" t="s">
        <v>13</v>
      </c>
    </row>
    <row r="9" spans="2:10" ht="15.75">
      <c r="B9" s="75" t="s">
        <v>14</v>
      </c>
      <c r="C9" s="5">
        <v>11</v>
      </c>
      <c r="D9" s="61">
        <v>1.2</v>
      </c>
      <c r="E9" s="63">
        <f>Tabela4[[#This Row],[Preço Base]]*E$13</f>
        <v>0.06</v>
      </c>
      <c r="F9" s="64">
        <f t="shared" si="0"/>
        <v>0.27600000000000002</v>
      </c>
      <c r="G9" s="64">
        <f>Tabela4[[#This Row],[Preço Base]]-Tabela4[[#This Row],[Desconto]]+Tabela4[[#This Row],[I.V.A]]</f>
        <v>1.4159999999999999</v>
      </c>
      <c r="H9" s="76">
        <f>Tabela4[[#This Row],[Valor Final]]*Tabela4[[#This Row],[Quantidade vendida]]</f>
        <v>15.575999999999999</v>
      </c>
    </row>
    <row r="10" spans="2:10" ht="15.75">
      <c r="B10" s="75" t="s">
        <v>15</v>
      </c>
      <c r="C10" s="5">
        <v>4</v>
      </c>
      <c r="D10" s="61">
        <v>1.1000000000000001</v>
      </c>
      <c r="E10" s="63">
        <f>Tabela4[[#This Row],[Preço Base]]*E$13</f>
        <v>5.5000000000000007E-2</v>
      </c>
      <c r="F10" s="64">
        <f t="shared" si="0"/>
        <v>0.25300000000000006</v>
      </c>
      <c r="G10" s="64">
        <f>Tabela4[[#This Row],[Preço Base]]-Tabela4[[#This Row],[Desconto]]+Tabela4[[#This Row],[I.V.A]]</f>
        <v>1.2980000000000003</v>
      </c>
      <c r="H10" s="76">
        <f>Tabela4[[#This Row],[Valor Final]]*Tabela4[[#This Row],[Quantidade vendida]]</f>
        <v>5.1920000000000011</v>
      </c>
    </row>
    <row r="11" spans="2:10" ht="15.75">
      <c r="B11" s="82" t="s">
        <v>16</v>
      </c>
      <c r="C11" s="62">
        <v>6</v>
      </c>
      <c r="D11" s="77">
        <v>1.5</v>
      </c>
      <c r="E11" s="65">
        <f>Tabela4[[#This Row],[Preço Base]]*E$13</f>
        <v>7.5000000000000011E-2</v>
      </c>
      <c r="F11" s="66">
        <f t="shared" si="0"/>
        <v>0.34500000000000003</v>
      </c>
      <c r="G11" s="78">
        <f>Tabela4[[#This Row],[Preço Base]]-Tabela4[[#This Row],[Desconto]]+Tabela4[[#This Row],[I.V.A]]</f>
        <v>1.77</v>
      </c>
      <c r="H11" s="79">
        <f>Tabela4[[#This Row],[Valor Final]]*Tabela4[[#This Row],[Quantidade vendida]]</f>
        <v>10.620000000000001</v>
      </c>
    </row>
    <row r="12" spans="2:10" ht="15.75">
      <c r="B12" s="80" t="s">
        <v>17</v>
      </c>
      <c r="C12" s="81">
        <f>SUM(C5:C11)</f>
        <v>382</v>
      </c>
      <c r="D12" s="1"/>
      <c r="E12" s="83" t="s">
        <v>5</v>
      </c>
      <c r="F12" s="84" t="s">
        <v>18</v>
      </c>
      <c r="G12" s="8"/>
      <c r="H12" s="9"/>
    </row>
    <row r="13" spans="2:10" ht="15.75">
      <c r="B13" s="1"/>
      <c r="C13" s="1"/>
      <c r="D13" s="1"/>
      <c r="E13" s="85">
        <v>0.05</v>
      </c>
      <c r="F13" s="86">
        <v>0.23</v>
      </c>
      <c r="G13" s="3"/>
      <c r="H13" s="1"/>
    </row>
    <row r="15" spans="2:10">
      <c r="D15" s="7"/>
    </row>
    <row r="17" spans="7:7">
      <c r="G17" s="7"/>
    </row>
  </sheetData>
  <mergeCells count="2">
    <mergeCell ref="B2:H2"/>
    <mergeCell ref="B3:H3"/>
  </mergeCells>
  <conditionalFormatting sqref="E5:E11">
    <cfRule type="cellIs" dxfId="36" priority="1" operator="lessThanOrEqual">
      <formula>0.07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I13" sqref="I13"/>
    </sheetView>
  </sheetViews>
  <sheetFormatPr defaultRowHeight="15"/>
  <cols>
    <col min="1" max="1" width="13.42578125" customWidth="1"/>
    <col min="2" max="2" width="14.42578125" customWidth="1"/>
    <col min="3" max="3" width="11.42578125" customWidth="1"/>
    <col min="4" max="4" width="13" customWidth="1"/>
    <col min="6" max="10" width="10.5703125" customWidth="1"/>
    <col min="11" max="11" width="11.42578125" customWidth="1"/>
  </cols>
  <sheetData>
    <row r="1" spans="1:15" ht="15.75" customHeight="1">
      <c r="A1" s="104"/>
      <c r="B1" s="104"/>
      <c r="C1" s="104"/>
      <c r="D1" s="104"/>
    </row>
    <row r="2" spans="1:15" ht="15.75" customHeight="1">
      <c r="A2" s="105" t="s">
        <v>19</v>
      </c>
      <c r="B2" s="105"/>
      <c r="C2" s="105"/>
      <c r="D2" s="105"/>
    </row>
    <row r="3" spans="1:15">
      <c r="A3" s="101"/>
      <c r="B3" s="102"/>
      <c r="C3" s="102"/>
      <c r="D3" s="103"/>
    </row>
    <row r="4" spans="1:15" ht="15.75">
      <c r="A4" s="99" t="s">
        <v>20</v>
      </c>
      <c r="B4" s="99" t="s">
        <v>21</v>
      </c>
      <c r="C4" s="99" t="s">
        <v>22</v>
      </c>
      <c r="D4" s="100" t="s">
        <v>23</v>
      </c>
    </row>
    <row r="5" spans="1:15" ht="15.75">
      <c r="A5" s="96" t="s">
        <v>24</v>
      </c>
      <c r="B5" s="87">
        <v>5</v>
      </c>
      <c r="C5" s="97">
        <v>1.38</v>
      </c>
      <c r="D5" s="98">
        <f>B5*C5</f>
        <v>6.8999999999999995</v>
      </c>
    </row>
    <row r="6" spans="1:15" ht="15.75">
      <c r="A6" s="11" t="s">
        <v>25</v>
      </c>
      <c r="B6" s="10">
        <v>2.5</v>
      </c>
      <c r="C6" s="13">
        <v>1.24</v>
      </c>
      <c r="D6" s="12">
        <f t="shared" ref="D6:D13" si="0">B6*C6</f>
        <v>3.1</v>
      </c>
    </row>
    <row r="7" spans="1:15" ht="15.75">
      <c r="A7" s="11" t="s">
        <v>26</v>
      </c>
      <c r="B7" s="10">
        <v>2.5</v>
      </c>
      <c r="C7" s="13">
        <v>1.05</v>
      </c>
      <c r="D7" s="12">
        <f t="shared" si="0"/>
        <v>2.625</v>
      </c>
    </row>
    <row r="8" spans="1:15" ht="15.75">
      <c r="A8" s="11" t="s">
        <v>27</v>
      </c>
      <c r="B8" s="10">
        <v>1.5</v>
      </c>
      <c r="C8" s="13">
        <v>0.9</v>
      </c>
      <c r="D8" s="12">
        <f t="shared" si="0"/>
        <v>1.35</v>
      </c>
    </row>
    <row r="9" spans="1:15" ht="15.75">
      <c r="A9" s="11" t="s">
        <v>28</v>
      </c>
      <c r="B9" s="10">
        <v>1</v>
      </c>
      <c r="C9" s="13">
        <v>1.5</v>
      </c>
      <c r="D9" s="12">
        <f t="shared" si="0"/>
        <v>1.5</v>
      </c>
    </row>
    <row r="10" spans="1:15" ht="15.75">
      <c r="A10" s="11" t="s">
        <v>29</v>
      </c>
      <c r="B10" s="10">
        <v>5</v>
      </c>
      <c r="C10" s="13">
        <v>1.49</v>
      </c>
      <c r="D10" s="12">
        <f t="shared" si="0"/>
        <v>7.45</v>
      </c>
    </row>
    <row r="11" spans="1:15" ht="15.75">
      <c r="A11" s="11" t="s">
        <v>30</v>
      </c>
      <c r="B11" s="10">
        <v>0.5</v>
      </c>
      <c r="C11" s="13">
        <v>8</v>
      </c>
      <c r="D11" s="12">
        <f t="shared" si="0"/>
        <v>4</v>
      </c>
    </row>
    <row r="12" spans="1:15" ht="15.75">
      <c r="A12" s="92" t="s">
        <v>31</v>
      </c>
      <c r="B12" s="93">
        <v>8</v>
      </c>
      <c r="C12" s="94">
        <v>5</v>
      </c>
      <c r="D12" s="95">
        <f t="shared" si="0"/>
        <v>40</v>
      </c>
      <c r="F12" s="6"/>
    </row>
    <row r="13" spans="1:15" ht="18.75">
      <c r="A13" s="88" t="s">
        <v>32</v>
      </c>
      <c r="B13" s="89">
        <v>3</v>
      </c>
      <c r="C13" s="90">
        <v>0.7</v>
      </c>
      <c r="D13" s="91">
        <f t="shared" si="0"/>
        <v>2.0999999999999996</v>
      </c>
      <c r="G13" s="4"/>
      <c r="I13" s="7"/>
      <c r="N13" s="14"/>
      <c r="O13" s="14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F15" sqref="F15"/>
    </sheetView>
  </sheetViews>
  <sheetFormatPr defaultRowHeight="15"/>
  <cols>
    <col min="3" max="3" width="12.42578125" customWidth="1"/>
    <col min="5" max="5" width="14.28515625" customWidth="1"/>
    <col min="6" max="6" width="14" customWidth="1"/>
  </cols>
  <sheetData>
    <row r="1" spans="1:6">
      <c r="A1" s="106" t="s">
        <v>33</v>
      </c>
      <c r="B1" s="107"/>
      <c r="C1" s="107"/>
      <c r="D1" s="107"/>
      <c r="E1" s="107"/>
      <c r="F1" s="108"/>
    </row>
    <row r="2" spans="1:6">
      <c r="A2" s="45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46" t="s">
        <v>39</v>
      </c>
    </row>
    <row r="3" spans="1:6">
      <c r="A3" s="45" t="s">
        <v>40</v>
      </c>
      <c r="B3" s="15">
        <v>12</v>
      </c>
      <c r="C3" s="15">
        <v>18</v>
      </c>
      <c r="D3" s="15">
        <v>17</v>
      </c>
      <c r="E3" s="15">
        <v>7.5</v>
      </c>
      <c r="F3" s="109">
        <f>SUM(B3:D3)*E3</f>
        <v>352.5</v>
      </c>
    </row>
    <row r="4" spans="1:6">
      <c r="A4" s="45" t="s">
        <v>41</v>
      </c>
      <c r="B4" s="15">
        <v>15</v>
      </c>
      <c r="C4" s="15">
        <v>9</v>
      </c>
      <c r="D4" s="15">
        <v>19</v>
      </c>
      <c r="E4" s="15">
        <v>22.5</v>
      </c>
      <c r="F4" s="109">
        <f t="shared" ref="F4:F8" si="0">SUM(B4:D4)*E4</f>
        <v>967.5</v>
      </c>
    </row>
    <row r="5" spans="1:6">
      <c r="A5" s="45" t="s">
        <v>42</v>
      </c>
      <c r="B5" s="15">
        <v>17</v>
      </c>
      <c r="C5" s="15">
        <v>14</v>
      </c>
      <c r="D5" s="15">
        <v>12</v>
      </c>
      <c r="E5" s="15">
        <v>15</v>
      </c>
      <c r="F5" s="109">
        <f t="shared" si="0"/>
        <v>645</v>
      </c>
    </row>
    <row r="6" spans="1:6">
      <c r="A6" s="45" t="s">
        <v>43</v>
      </c>
      <c r="B6" s="15">
        <v>20</v>
      </c>
      <c r="C6" s="15">
        <v>18</v>
      </c>
      <c r="D6" s="15">
        <v>22</v>
      </c>
      <c r="E6" s="15">
        <v>12.5</v>
      </c>
      <c r="F6" s="109">
        <f t="shared" si="0"/>
        <v>750</v>
      </c>
    </row>
    <row r="7" spans="1:6">
      <c r="A7" s="45" t="s">
        <v>44</v>
      </c>
      <c r="B7" s="15">
        <v>21</v>
      </c>
      <c r="C7" s="15">
        <v>15</v>
      </c>
      <c r="D7" s="15">
        <v>15</v>
      </c>
      <c r="E7" s="15">
        <v>15</v>
      </c>
      <c r="F7" s="109">
        <f t="shared" si="0"/>
        <v>765</v>
      </c>
    </row>
    <row r="8" spans="1:6">
      <c r="A8" s="47" t="s">
        <v>45</v>
      </c>
      <c r="B8" s="110">
        <v>12</v>
      </c>
      <c r="C8" s="110">
        <v>13</v>
      </c>
      <c r="D8" s="110">
        <v>19</v>
      </c>
      <c r="E8" s="20">
        <v>12.5</v>
      </c>
      <c r="F8" s="112">
        <f t="shared" si="0"/>
        <v>550</v>
      </c>
    </row>
    <row r="9" spans="1:6">
      <c r="E9" s="111" t="s">
        <v>17</v>
      </c>
      <c r="F9" s="113">
        <f>SUM(F3:F8)</f>
        <v>4030</v>
      </c>
    </row>
    <row r="15" spans="1:6">
      <c r="F15" s="7"/>
    </row>
  </sheetData>
  <mergeCells count="1">
    <mergeCell ref="A1:F1"/>
  </mergeCells>
  <conditionalFormatting sqref="F3:F8">
    <cfRule type="cellIs" dxfId="23" priority="2" operator="lessThan">
      <formula>700</formula>
    </cfRule>
  </conditionalFormatting>
  <conditionalFormatting sqref="F3:F8">
    <cfRule type="cellIs" dxfId="22" priority="1" operator="greaterThanOrEqual">
      <formula>700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3"/>
  <sheetViews>
    <sheetView workbookViewId="0">
      <selection activeCell="G13" sqref="G13"/>
    </sheetView>
  </sheetViews>
  <sheetFormatPr defaultRowHeight="15"/>
  <cols>
    <col min="2" max="2" width="17.28515625" customWidth="1"/>
    <col min="6" max="6" width="11.5703125" customWidth="1"/>
  </cols>
  <sheetData>
    <row r="2" spans="1:8">
      <c r="C2" s="17" t="s">
        <v>46</v>
      </c>
      <c r="D2" s="17"/>
      <c r="E2" s="17"/>
    </row>
    <row r="3" spans="1:8">
      <c r="C3" s="20" t="s">
        <v>47</v>
      </c>
      <c r="D3" s="20" t="s">
        <v>48</v>
      </c>
      <c r="E3" s="22" t="s">
        <v>49</v>
      </c>
      <c r="F3" s="15" t="s">
        <v>50</v>
      </c>
    </row>
    <row r="4" spans="1:8">
      <c r="A4" s="19" t="s">
        <v>51</v>
      </c>
      <c r="B4" s="15">
        <v>123456</v>
      </c>
      <c r="C4" s="18">
        <v>9</v>
      </c>
      <c r="D4" s="18">
        <v>7</v>
      </c>
      <c r="E4" s="23">
        <v>9</v>
      </c>
      <c r="F4" s="18">
        <f>AVERAGE(C4:E4)</f>
        <v>8.3333333333333339</v>
      </c>
    </row>
    <row r="5" spans="1:8">
      <c r="A5" s="19"/>
      <c r="B5" s="15">
        <v>123478</v>
      </c>
      <c r="C5" s="18">
        <v>4</v>
      </c>
      <c r="D5" s="18">
        <v>3</v>
      </c>
      <c r="E5" s="23">
        <v>2</v>
      </c>
      <c r="F5" s="18">
        <f t="shared" ref="F5" si="0">AVERAGE(C5:E5)</f>
        <v>3</v>
      </c>
    </row>
    <row r="6" spans="1:8">
      <c r="A6" s="19"/>
      <c r="B6" s="15">
        <v>1234512</v>
      </c>
      <c r="C6" s="18">
        <v>2</v>
      </c>
      <c r="D6" s="18">
        <v>6</v>
      </c>
      <c r="E6" s="23">
        <v>9</v>
      </c>
      <c r="F6" s="18">
        <f>AVERAGE(C6:E6)</f>
        <v>5.666666666666667</v>
      </c>
    </row>
    <row r="7" spans="1:8">
      <c r="A7" s="19"/>
      <c r="B7" s="20">
        <v>1235689</v>
      </c>
      <c r="C7" s="21">
        <v>6</v>
      </c>
      <c r="D7" s="21">
        <v>10</v>
      </c>
      <c r="E7" s="24">
        <v>4</v>
      </c>
      <c r="F7" s="18">
        <f>AVERAGE(C7:E7)</f>
        <v>6.666666666666667</v>
      </c>
      <c r="H7" s="6"/>
    </row>
    <row r="8" spans="1:8">
      <c r="B8" s="15" t="s">
        <v>52</v>
      </c>
      <c r="C8" s="18">
        <f>AVERAGE(C4:C7)</f>
        <v>5.25</v>
      </c>
      <c r="D8" s="18">
        <f t="shared" ref="D8:E8" si="1">AVERAGE(D4:D7)</f>
        <v>6.5</v>
      </c>
      <c r="E8" s="18">
        <f t="shared" si="1"/>
        <v>6</v>
      </c>
    </row>
    <row r="13" spans="1:8">
      <c r="G13" s="6"/>
    </row>
  </sheetData>
  <mergeCells count="2">
    <mergeCell ref="C2:E2"/>
    <mergeCell ref="A4:A7"/>
  </mergeCells>
  <conditionalFormatting sqref="C4:F7 C8:E8">
    <cfRule type="cellIs" dxfId="21" priority="3" operator="lessThan">
      <formula>5</formula>
    </cfRule>
  </conditionalFormatting>
  <conditionalFormatting sqref="C4:F7 C8:E8">
    <cfRule type="cellIs" dxfId="20" priority="2" operator="between">
      <formula>5.1</formula>
      <formula>6.5</formula>
    </cfRule>
  </conditionalFormatting>
  <conditionalFormatting sqref="C4:F7 C8:E8">
    <cfRule type="cellIs" dxfId="19" priority="1" operator="greaterThan">
      <formula>6.5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abSelected="1" workbookViewId="0">
      <selection activeCell="H15" sqref="H15"/>
    </sheetView>
  </sheetViews>
  <sheetFormatPr defaultRowHeight="15"/>
  <cols>
    <col min="1" max="1" width="21" customWidth="1"/>
    <col min="8" max="8" width="36.5703125" bestFit="1" customWidth="1"/>
  </cols>
  <sheetData>
    <row r="1" spans="1:8" ht="15.75">
      <c r="A1" s="33" t="s">
        <v>53</v>
      </c>
      <c r="B1" s="34" t="s">
        <v>54</v>
      </c>
      <c r="C1" s="34" t="s">
        <v>55</v>
      </c>
      <c r="D1" s="34" t="s">
        <v>56</v>
      </c>
      <c r="E1" s="34" t="s">
        <v>57</v>
      </c>
      <c r="F1" s="35" t="s">
        <v>17</v>
      </c>
    </row>
    <row r="2" spans="1:8" ht="15.75">
      <c r="A2" s="27" t="s">
        <v>58</v>
      </c>
      <c r="B2" s="25">
        <v>6</v>
      </c>
      <c r="C2" s="25">
        <v>8</v>
      </c>
      <c r="D2" s="25">
        <v>9</v>
      </c>
      <c r="E2" s="25">
        <v>8</v>
      </c>
      <c r="F2" s="28">
        <f>SUM(B2:E2)</f>
        <v>31</v>
      </c>
    </row>
    <row r="3" spans="1:8" ht="15.75">
      <c r="A3" s="27" t="s">
        <v>59</v>
      </c>
      <c r="B3" s="25">
        <v>12</v>
      </c>
      <c r="C3" s="25">
        <v>10</v>
      </c>
      <c r="D3" s="25">
        <v>27</v>
      </c>
      <c r="E3" s="25">
        <v>10</v>
      </c>
      <c r="F3" s="28">
        <f t="shared" ref="F3:F8" si="0">SUM(B3:E3)</f>
        <v>59</v>
      </c>
    </row>
    <row r="4" spans="1:8" ht="15.75">
      <c r="A4" s="27" t="s">
        <v>60</v>
      </c>
      <c r="B4" s="25">
        <v>20</v>
      </c>
      <c r="C4" s="25">
        <v>8</v>
      </c>
      <c r="D4" s="25">
        <v>4</v>
      </c>
      <c r="E4" s="25">
        <v>13</v>
      </c>
      <c r="F4" s="28">
        <f t="shared" si="0"/>
        <v>45</v>
      </c>
    </row>
    <row r="5" spans="1:8" ht="15.75">
      <c r="A5" s="27" t="s">
        <v>61</v>
      </c>
      <c r="B5" s="25">
        <v>10</v>
      </c>
      <c r="C5" s="25">
        <v>14</v>
      </c>
      <c r="D5" s="25">
        <v>23</v>
      </c>
      <c r="E5" s="25">
        <v>12</v>
      </c>
      <c r="F5" s="28">
        <f t="shared" si="0"/>
        <v>59</v>
      </c>
    </row>
    <row r="6" spans="1:8" ht="15.75">
      <c r="A6" s="27" t="s">
        <v>62</v>
      </c>
      <c r="B6" s="25">
        <v>15</v>
      </c>
      <c r="C6" s="25">
        <v>7</v>
      </c>
      <c r="D6" s="25">
        <v>31</v>
      </c>
      <c r="E6" s="25">
        <v>6</v>
      </c>
      <c r="F6" s="28">
        <f t="shared" si="0"/>
        <v>59</v>
      </c>
    </row>
    <row r="7" spans="1:8" ht="15.75">
      <c r="A7" s="27" t="s">
        <v>63</v>
      </c>
      <c r="B7" s="25">
        <v>10</v>
      </c>
      <c r="C7" s="25">
        <v>7</v>
      </c>
      <c r="D7" s="25">
        <v>12</v>
      </c>
      <c r="E7" s="25">
        <v>8</v>
      </c>
      <c r="F7" s="28">
        <f t="shared" si="0"/>
        <v>37</v>
      </c>
    </row>
    <row r="8" spans="1:8" ht="15.75">
      <c r="A8" s="29" t="s">
        <v>64</v>
      </c>
      <c r="B8" s="26">
        <v>20</v>
      </c>
      <c r="C8" s="26">
        <v>5</v>
      </c>
      <c r="D8" s="26">
        <v>14</v>
      </c>
      <c r="E8" s="26">
        <v>2</v>
      </c>
      <c r="F8" s="30">
        <f t="shared" si="0"/>
        <v>41</v>
      </c>
    </row>
    <row r="9" spans="1:8" ht="15.75">
      <c r="A9" s="31" t="s">
        <v>17</v>
      </c>
      <c r="B9" s="32">
        <f>SUM(B2:B8)</f>
        <v>93</v>
      </c>
      <c r="C9" s="32">
        <f>SUM(C2:C8)</f>
        <v>59</v>
      </c>
      <c r="D9" s="32">
        <f>SUM(D2:D8)</f>
        <v>120</v>
      </c>
      <c r="E9" s="32">
        <f>SUM(E2:E8)</f>
        <v>59</v>
      </c>
      <c r="F9" s="36"/>
      <c r="H9" s="7"/>
    </row>
    <row r="13" spans="1:8" ht="27.75" customHeight="1">
      <c r="A13" s="115" t="s">
        <v>65</v>
      </c>
      <c r="B13" s="115"/>
      <c r="C13" s="115"/>
      <c r="D13" s="115"/>
      <c r="E13" s="115"/>
      <c r="F13" s="115"/>
      <c r="G13" s="114"/>
    </row>
    <row r="14" spans="1:8">
      <c r="A14" s="2"/>
      <c r="B14" s="2"/>
      <c r="C14" s="2"/>
      <c r="D14" s="2"/>
      <c r="E14" s="2"/>
      <c r="F14" s="2"/>
      <c r="H14" s="6"/>
    </row>
    <row r="15" spans="1:8">
      <c r="A15" s="2"/>
      <c r="B15" s="2"/>
      <c r="C15" s="2"/>
      <c r="D15" s="2"/>
      <c r="E15" s="2"/>
      <c r="F15" s="2"/>
      <c r="H15" s="7"/>
    </row>
  </sheetData>
  <mergeCells count="1">
    <mergeCell ref="A13:F13"/>
  </mergeCells>
  <conditionalFormatting sqref="F2:F8 B9:E9">
    <cfRule type="cellIs" dxfId="18" priority="3" operator="between">
      <formula>20</formula>
      <formula>40</formula>
    </cfRule>
  </conditionalFormatting>
  <conditionalFormatting sqref="F2:F8 B9:E9">
    <cfRule type="cellIs" dxfId="17" priority="2" operator="equal">
      <formula>59</formula>
    </cfRule>
  </conditionalFormatting>
  <conditionalFormatting sqref="B9 D9 F8 F4">
    <cfRule type="notContainsBlanks" dxfId="16" priority="1">
      <formula>LEN(TRIM(B4))&gt;0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9"/>
  <sheetViews>
    <sheetView workbookViewId="0">
      <selection activeCell="B1" sqref="B1:E1"/>
    </sheetView>
  </sheetViews>
  <sheetFormatPr defaultRowHeight="15"/>
  <cols>
    <col min="2" max="2" width="17.42578125" bestFit="1" customWidth="1"/>
    <col min="3" max="3" width="11.140625" bestFit="1" customWidth="1"/>
    <col min="4" max="4" width="12.85546875" bestFit="1" customWidth="1"/>
    <col min="5" max="5" width="10.42578125" bestFit="1" customWidth="1"/>
  </cols>
  <sheetData>
    <row r="1" spans="2:5">
      <c r="B1" s="57" t="s">
        <v>66</v>
      </c>
      <c r="C1" s="57"/>
      <c r="D1" s="57"/>
      <c r="E1" s="57"/>
    </row>
    <row r="2" spans="2:5">
      <c r="B2" s="38" t="s">
        <v>67</v>
      </c>
      <c r="C2" s="37" t="s">
        <v>68</v>
      </c>
      <c r="D2" s="37" t="s">
        <v>69</v>
      </c>
      <c r="E2" s="41" t="s">
        <v>70</v>
      </c>
    </row>
    <row r="3" spans="2:5">
      <c r="B3" s="39" t="s">
        <v>71</v>
      </c>
      <c r="C3" s="14" t="s">
        <v>72</v>
      </c>
      <c r="D3" s="14" t="s">
        <v>73</v>
      </c>
      <c r="E3" s="42" t="s">
        <v>17</v>
      </c>
    </row>
    <row r="4" spans="2:5">
      <c r="B4" s="39" t="s">
        <v>74</v>
      </c>
      <c r="C4" s="53">
        <v>1</v>
      </c>
      <c r="D4" s="16">
        <v>5</v>
      </c>
      <c r="E4" s="44">
        <f>Tabela6[[#This Row],[Coluna2]]*Tabela6[[#This Row],[Coluna1]]</f>
        <v>5</v>
      </c>
    </row>
    <row r="5" spans="2:5">
      <c r="B5" s="39" t="s">
        <v>75</v>
      </c>
      <c r="C5" s="53">
        <v>1</v>
      </c>
      <c r="D5" s="16">
        <v>3.5</v>
      </c>
      <c r="E5" s="48">
        <f>Tabela6[[#This Row],[Coluna2]]*Tabela6[[#This Row],[Coluna1]]</f>
        <v>3.5</v>
      </c>
    </row>
    <row r="6" spans="2:5">
      <c r="B6" s="39" t="s">
        <v>76</v>
      </c>
      <c r="C6" s="53">
        <v>2</v>
      </c>
      <c r="D6" s="16">
        <v>3.45</v>
      </c>
      <c r="E6" s="48">
        <f>Tabela6[[#This Row],[Coluna2]]*Tabela6[[#This Row],[Coluna1]]</f>
        <v>6.9</v>
      </c>
    </row>
    <row r="7" spans="2:5">
      <c r="B7" s="39" t="s">
        <v>77</v>
      </c>
      <c r="C7" s="53">
        <v>2</v>
      </c>
      <c r="D7" s="16">
        <v>1.35</v>
      </c>
      <c r="E7" s="48">
        <f>Tabela6[[#This Row],[Coluna2]]*Tabela6[[#This Row],[Coluna1]]</f>
        <v>2.7</v>
      </c>
    </row>
    <row r="8" spans="2:5">
      <c r="B8" s="39" t="s">
        <v>78</v>
      </c>
      <c r="C8" s="53">
        <v>1</v>
      </c>
      <c r="D8" s="16">
        <v>12.34</v>
      </c>
      <c r="E8" s="48">
        <f>Tabela6[[#This Row],[Coluna2]]*Tabela6[[#This Row],[Coluna1]]</f>
        <v>12.34</v>
      </c>
    </row>
    <row r="9" spans="2:5">
      <c r="B9" s="40" t="s">
        <v>79</v>
      </c>
      <c r="C9" s="54">
        <v>1</v>
      </c>
      <c r="D9" s="43">
        <v>14.37</v>
      </c>
      <c r="E9" s="48">
        <f>Tabela6[[#This Row],[Coluna2]]*Tabela6[[#This Row],[Coluna1]]</f>
        <v>14.37</v>
      </c>
    </row>
    <row r="11" spans="2:5">
      <c r="B11" s="55" t="s">
        <v>80</v>
      </c>
      <c r="C11" s="56"/>
      <c r="D11" s="56"/>
      <c r="E11" s="56"/>
    </row>
    <row r="12" spans="2:5">
      <c r="B12" s="38" t="s">
        <v>67</v>
      </c>
      <c r="C12" s="37" t="s">
        <v>68</v>
      </c>
      <c r="D12" s="37" t="s">
        <v>69</v>
      </c>
      <c r="E12" s="41" t="s">
        <v>70</v>
      </c>
    </row>
    <row r="13" spans="2:5">
      <c r="B13" s="39" t="s">
        <v>71</v>
      </c>
      <c r="C13" s="14" t="s">
        <v>72</v>
      </c>
      <c r="D13" s="14" t="s">
        <v>73</v>
      </c>
      <c r="E13" s="42" t="s">
        <v>17</v>
      </c>
    </row>
    <row r="14" spans="2:5">
      <c r="B14" s="39" t="s">
        <v>74</v>
      </c>
      <c r="C14" s="14">
        <v>1</v>
      </c>
      <c r="D14" s="16">
        <v>5</v>
      </c>
      <c r="E14" s="44">
        <f>Tabela68[[#This Row],[Coluna2]]*Tabela68[[#This Row],[Coluna1]]</f>
        <v>5</v>
      </c>
    </row>
    <row r="15" spans="2:5">
      <c r="B15" s="39" t="s">
        <v>75</v>
      </c>
      <c r="C15" s="51">
        <v>1</v>
      </c>
      <c r="D15" s="16">
        <v>3.5</v>
      </c>
      <c r="E15" s="48">
        <f>Tabela68[[#This Row],[Coluna2]]*Tabela68[[#This Row],[Coluna1]]</f>
        <v>3.5</v>
      </c>
    </row>
    <row r="16" spans="2:5">
      <c r="B16" s="39" t="s">
        <v>76</v>
      </c>
      <c r="C16" s="14">
        <v>2</v>
      </c>
      <c r="D16" s="16">
        <v>3.45</v>
      </c>
      <c r="E16" s="48">
        <f>Tabela68[[#This Row],[Coluna2]]*Tabela68[[#This Row],[Coluna1]]</f>
        <v>6.9</v>
      </c>
    </row>
    <row r="17" spans="2:5">
      <c r="B17" s="39" t="s">
        <v>77</v>
      </c>
      <c r="C17" s="49">
        <v>2.02</v>
      </c>
      <c r="D17" s="16">
        <v>1.35</v>
      </c>
      <c r="E17" s="48">
        <f>Tabela68[[#This Row],[Coluna2]]*Tabela68[[#This Row],[Coluna1]]</f>
        <v>2.7270000000000003</v>
      </c>
    </row>
    <row r="18" spans="2:5">
      <c r="B18" s="39" t="s">
        <v>78</v>
      </c>
      <c r="C18" s="50">
        <v>0.53</v>
      </c>
      <c r="D18" s="16">
        <v>12.34</v>
      </c>
      <c r="E18" s="48">
        <f>Tabela68[[#This Row],[Coluna2]]*Tabela68[[#This Row],[Coluna1]]</f>
        <v>6.5402000000000005</v>
      </c>
    </row>
    <row r="19" spans="2:5">
      <c r="B19" s="40" t="s">
        <v>79</v>
      </c>
      <c r="C19" s="52">
        <v>0.25</v>
      </c>
      <c r="D19" s="43">
        <v>14.37</v>
      </c>
      <c r="E19" s="48">
        <f>Tabela68[[#This Row],[Coluna2]]*Tabela68[[#This Row],[Coluna1]]</f>
        <v>3.5924999999999998</v>
      </c>
    </row>
  </sheetData>
  <mergeCells count="2">
    <mergeCell ref="B11:E11"/>
    <mergeCell ref="B1:E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Grizli777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Andreia</dc:creator>
  <cp:keywords/>
  <dc:description/>
  <cp:lastModifiedBy/>
  <cp:revision/>
  <dcterms:created xsi:type="dcterms:W3CDTF">2016-06-06T23:54:22Z</dcterms:created>
  <dcterms:modified xsi:type="dcterms:W3CDTF">2026-03-29T03:12:02Z</dcterms:modified>
  <cp:category/>
  <cp:contentStatus/>
</cp:coreProperties>
</file>